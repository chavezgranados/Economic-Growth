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01C19B77-AB71-481E-8310-9F45C50D08F1}" xr6:coauthVersionLast="47" xr6:coauthVersionMax="47" xr10:uidLastSave="{00000000-0000-0000-0000-000000000000}"/>
  <bookViews>
    <workbookView xWindow="-120" yWindow="-120" windowWidth="20730" windowHeight="11160" activeTab="1" xr2:uid="{793FE982-08EA-4CB3-AE89-6E79B4D35D44}"/>
  </bookViews>
  <sheets>
    <sheet name="enfoque1" sheetId="1" r:id="rId1"/>
    <sheet name="enfoque2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" i="2" l="1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11" i="2"/>
  <c r="K15" i="1"/>
  <c r="K12" i="1"/>
  <c r="K13" i="1"/>
  <c r="K14" i="1"/>
  <c r="K11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11" i="1"/>
  <c r="H12" i="2"/>
  <c r="G13" i="2"/>
  <c r="E12" i="2"/>
  <c r="C11" i="2"/>
  <c r="D13" i="2"/>
  <c r="D14" i="2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12" i="2"/>
  <c r="D11" i="2"/>
  <c r="O2" i="1"/>
  <c r="L2" i="1"/>
  <c r="H11" i="2"/>
  <c r="G11" i="2"/>
  <c r="D11" i="1"/>
  <c r="C11" i="1"/>
  <c r="D12" i="1" s="1"/>
  <c r="C12" i="2" l="1"/>
  <c r="F12" i="2" s="1"/>
  <c r="E12" i="1"/>
  <c r="H11" i="1"/>
  <c r="G11" i="1"/>
  <c r="H12" i="1"/>
  <c r="C12" i="1"/>
  <c r="G12" i="2" l="1"/>
  <c r="D13" i="1"/>
  <c r="G12" i="1"/>
  <c r="F12" i="1"/>
  <c r="C13" i="2" l="1"/>
  <c r="H13" i="2"/>
  <c r="E13" i="2"/>
  <c r="E13" i="1"/>
  <c r="H13" i="1"/>
  <c r="C13" i="1"/>
  <c r="F13" i="2" l="1"/>
  <c r="D14" i="1"/>
  <c r="F13" i="1"/>
  <c r="G13" i="1"/>
  <c r="E14" i="2" l="1"/>
  <c r="C14" i="2"/>
  <c r="H14" i="2"/>
  <c r="E14" i="1"/>
  <c r="H14" i="1"/>
  <c r="C14" i="1"/>
  <c r="G14" i="2" l="1"/>
  <c r="F14" i="2"/>
  <c r="D15" i="1"/>
  <c r="F14" i="1"/>
  <c r="G14" i="1"/>
  <c r="E15" i="2" l="1"/>
  <c r="H15" i="2"/>
  <c r="C15" i="2"/>
  <c r="C15" i="1"/>
  <c r="H15" i="1"/>
  <c r="E15" i="1"/>
  <c r="G15" i="2" l="1"/>
  <c r="F15" i="2"/>
  <c r="D16" i="1"/>
  <c r="G15" i="1"/>
  <c r="F15" i="1"/>
  <c r="H16" i="2" l="1"/>
  <c r="E16" i="2"/>
  <c r="C16" i="2"/>
  <c r="H16" i="1"/>
  <c r="C16" i="1"/>
  <c r="E16" i="1"/>
  <c r="F16" i="2" l="1"/>
  <c r="G16" i="2"/>
  <c r="D17" i="1"/>
  <c r="G16" i="1"/>
  <c r="F16" i="1"/>
  <c r="E17" i="2" l="1"/>
  <c r="C17" i="2"/>
  <c r="H17" i="2"/>
  <c r="H17" i="1"/>
  <c r="E17" i="1"/>
  <c r="C17" i="1"/>
  <c r="F17" i="2" l="1"/>
  <c r="G17" i="2"/>
  <c r="D18" i="1"/>
  <c r="G17" i="1"/>
  <c r="F17" i="1"/>
  <c r="C18" i="2" l="1"/>
  <c r="H18" i="2"/>
  <c r="E18" i="2"/>
  <c r="H18" i="1"/>
  <c r="C18" i="1"/>
  <c r="E18" i="1"/>
  <c r="G18" i="2" l="1"/>
  <c r="F18" i="2"/>
  <c r="D19" i="1"/>
  <c r="G18" i="1"/>
  <c r="F18" i="1"/>
  <c r="C19" i="2" l="1"/>
  <c r="H19" i="2"/>
  <c r="E19" i="2"/>
  <c r="H19" i="1"/>
  <c r="C19" i="1"/>
  <c r="E19" i="1"/>
  <c r="F19" i="2" l="1"/>
  <c r="G19" i="2"/>
  <c r="D20" i="1"/>
  <c r="G19" i="1"/>
  <c r="F19" i="1"/>
  <c r="H20" i="2" l="1"/>
  <c r="C20" i="2"/>
  <c r="E20" i="2"/>
  <c r="H20" i="1"/>
  <c r="E20" i="1"/>
  <c r="C20" i="1"/>
  <c r="G20" i="2" l="1"/>
  <c r="F20" i="2"/>
  <c r="D21" i="1"/>
  <c r="G20" i="1"/>
  <c r="F20" i="1"/>
  <c r="C21" i="2" l="1"/>
  <c r="H21" i="2"/>
  <c r="E21" i="2"/>
  <c r="H21" i="1"/>
  <c r="C21" i="1"/>
  <c r="E21" i="1"/>
  <c r="G21" i="2" l="1"/>
  <c r="F21" i="2"/>
  <c r="D22" i="1"/>
  <c r="G21" i="1"/>
  <c r="F21" i="1"/>
  <c r="E22" i="2" l="1"/>
  <c r="C22" i="2"/>
  <c r="H22" i="2"/>
  <c r="H22" i="1"/>
  <c r="E22" i="1"/>
  <c r="C22" i="1"/>
  <c r="G22" i="2" l="1"/>
  <c r="F22" i="2"/>
  <c r="D23" i="1"/>
  <c r="G22" i="1"/>
  <c r="F22" i="1"/>
  <c r="E23" i="2" l="1"/>
  <c r="H23" i="2"/>
  <c r="C23" i="2"/>
  <c r="H23" i="1"/>
  <c r="E23" i="1"/>
  <c r="C23" i="1"/>
  <c r="G23" i="2" l="1"/>
  <c r="F23" i="2"/>
  <c r="D24" i="1"/>
  <c r="G23" i="1"/>
  <c r="F23" i="1"/>
  <c r="C24" i="2" l="1"/>
  <c r="H24" i="2"/>
  <c r="E24" i="2"/>
  <c r="H24" i="1"/>
  <c r="C24" i="1"/>
  <c r="E24" i="1"/>
  <c r="G24" i="2" l="1"/>
  <c r="F24" i="2"/>
  <c r="D25" i="1"/>
  <c r="G24" i="1"/>
  <c r="F24" i="1"/>
  <c r="C25" i="2" l="1"/>
  <c r="E25" i="2"/>
  <c r="H25" i="2"/>
  <c r="H25" i="1"/>
  <c r="E25" i="1"/>
  <c r="C25" i="1"/>
  <c r="G25" i="2" l="1"/>
  <c r="F25" i="2"/>
  <c r="D26" i="1"/>
  <c r="G25" i="1"/>
  <c r="F25" i="1"/>
  <c r="C26" i="2" l="1"/>
  <c r="E26" i="2"/>
  <c r="H26" i="2"/>
  <c r="H26" i="1"/>
  <c r="C26" i="1"/>
  <c r="E26" i="1"/>
  <c r="F26" i="2" l="1"/>
  <c r="G26" i="2"/>
  <c r="D27" i="1"/>
  <c r="G26" i="1"/>
  <c r="F26" i="1"/>
  <c r="E27" i="2" l="1"/>
  <c r="C27" i="2"/>
  <c r="H27" i="2"/>
  <c r="H27" i="1"/>
  <c r="C27" i="1"/>
  <c r="E27" i="1"/>
  <c r="G27" i="2" l="1"/>
  <c r="F27" i="2"/>
  <c r="D28" i="1"/>
  <c r="G27" i="1"/>
  <c r="F27" i="1"/>
  <c r="H28" i="2" l="1"/>
  <c r="C28" i="2"/>
  <c r="E28" i="2"/>
  <c r="H28" i="1"/>
  <c r="E28" i="1"/>
  <c r="C28" i="1"/>
  <c r="G28" i="2" l="1"/>
  <c r="F28" i="2"/>
  <c r="D29" i="1"/>
  <c r="G28" i="1"/>
  <c r="F28" i="1"/>
  <c r="H29" i="2" l="1"/>
  <c r="C29" i="2"/>
  <c r="E29" i="2"/>
  <c r="H29" i="1"/>
  <c r="E29" i="1"/>
  <c r="C29" i="1"/>
  <c r="F29" i="2" l="1"/>
  <c r="G29" i="2"/>
  <c r="D30" i="1"/>
  <c r="G29" i="1"/>
  <c r="F29" i="1"/>
  <c r="C30" i="2" l="1"/>
  <c r="E30" i="2"/>
  <c r="H30" i="2"/>
  <c r="H30" i="1"/>
  <c r="C30" i="1"/>
  <c r="E30" i="1"/>
  <c r="G30" i="2" l="1"/>
  <c r="F30" i="2"/>
  <c r="D31" i="1"/>
  <c r="G30" i="1"/>
  <c r="F30" i="1"/>
  <c r="E31" i="2" l="1"/>
  <c r="C31" i="2"/>
  <c r="H31" i="2"/>
  <c r="H31" i="1"/>
  <c r="E31" i="1"/>
  <c r="C31" i="1"/>
  <c r="G31" i="2" l="1"/>
  <c r="F31" i="2"/>
  <c r="D32" i="1"/>
  <c r="G31" i="1"/>
  <c r="F31" i="1"/>
  <c r="H32" i="2" l="1"/>
  <c r="E32" i="2"/>
  <c r="C32" i="2"/>
  <c r="H32" i="1"/>
  <c r="E32" i="1"/>
  <c r="C32" i="1"/>
  <c r="G32" i="2" l="1"/>
  <c r="F32" i="2"/>
  <c r="D33" i="1"/>
  <c r="G32" i="1"/>
  <c r="F32" i="1"/>
  <c r="H33" i="2" l="1"/>
  <c r="E33" i="2"/>
  <c r="C33" i="2"/>
  <c r="H33" i="1"/>
  <c r="C33" i="1"/>
  <c r="E33" i="1"/>
  <c r="F33" i="2" l="1"/>
  <c r="G33" i="2"/>
  <c r="D34" i="1"/>
  <c r="G33" i="1"/>
  <c r="F33" i="1"/>
  <c r="C34" i="2" l="1"/>
  <c r="H34" i="2"/>
  <c r="E34" i="2"/>
  <c r="H34" i="1"/>
  <c r="E34" i="1"/>
  <c r="C34" i="1"/>
  <c r="G34" i="2" l="1"/>
  <c r="F34" i="2"/>
  <c r="D35" i="1"/>
  <c r="G34" i="1"/>
  <c r="F34" i="1"/>
  <c r="E35" i="2" l="1"/>
  <c r="H35" i="2"/>
  <c r="C35" i="2"/>
  <c r="H35" i="1"/>
  <c r="C35" i="1"/>
  <c r="E35" i="1"/>
  <c r="G35" i="2" l="1"/>
  <c r="F35" i="2"/>
  <c r="D36" i="1"/>
  <c r="G35" i="1"/>
  <c r="F35" i="1"/>
  <c r="H36" i="2" l="1"/>
  <c r="C36" i="2"/>
  <c r="E36" i="2"/>
  <c r="H36" i="1"/>
  <c r="E36" i="1"/>
  <c r="C36" i="1"/>
  <c r="F36" i="2" l="1"/>
  <c r="G36" i="2"/>
  <c r="D37" i="1"/>
  <c r="G36" i="1"/>
  <c r="F36" i="1"/>
  <c r="E37" i="2" l="1"/>
  <c r="H37" i="2"/>
  <c r="C37" i="2"/>
  <c r="H37" i="1"/>
  <c r="E37" i="1"/>
  <c r="C37" i="1"/>
  <c r="G37" i="2" l="1"/>
  <c r="F37" i="2"/>
  <c r="D38" i="1"/>
  <c r="G37" i="1"/>
  <c r="F37" i="1"/>
  <c r="E38" i="2" l="1"/>
  <c r="H38" i="2"/>
  <c r="C38" i="2"/>
  <c r="H38" i="1"/>
  <c r="C38" i="1"/>
  <c r="E38" i="1"/>
  <c r="F38" i="2" l="1"/>
  <c r="G38" i="2"/>
  <c r="D39" i="1"/>
  <c r="G38" i="1"/>
  <c r="F38" i="1"/>
  <c r="E39" i="2" l="1"/>
  <c r="H39" i="2"/>
  <c r="C39" i="2"/>
  <c r="H39" i="1"/>
  <c r="C39" i="1"/>
  <c r="E39" i="1"/>
  <c r="G39" i="2" l="1"/>
  <c r="F39" i="2"/>
  <c r="D40" i="1"/>
  <c r="G39" i="1"/>
  <c r="F39" i="1"/>
  <c r="C40" i="2" l="1"/>
  <c r="E40" i="2"/>
  <c r="H40" i="2"/>
  <c r="H40" i="1"/>
  <c r="E40" i="1"/>
  <c r="C40" i="1"/>
  <c r="G40" i="2" l="1"/>
  <c r="F40" i="2"/>
  <c r="D41" i="1"/>
  <c r="G40" i="1"/>
  <c r="F40" i="1"/>
  <c r="C41" i="2" l="1"/>
  <c r="H41" i="2"/>
  <c r="E41" i="2"/>
  <c r="H41" i="1"/>
  <c r="C41" i="1"/>
  <c r="E41" i="1"/>
  <c r="G41" i="2" l="1"/>
  <c r="F41" i="2"/>
  <c r="D42" i="1"/>
  <c r="G41" i="1"/>
  <c r="F41" i="1"/>
  <c r="C42" i="2" l="1"/>
  <c r="H42" i="2"/>
  <c r="E42" i="2"/>
  <c r="H42" i="1"/>
  <c r="C42" i="1"/>
  <c r="E42" i="1"/>
  <c r="F42" i="2" l="1"/>
  <c r="G42" i="2"/>
  <c r="D43" i="1"/>
  <c r="G42" i="1"/>
  <c r="F42" i="1"/>
  <c r="H43" i="2" l="1"/>
  <c r="E43" i="2"/>
  <c r="C43" i="2"/>
  <c r="H43" i="1"/>
  <c r="E43" i="1"/>
  <c r="C43" i="1"/>
  <c r="G43" i="2" l="1"/>
  <c r="F43" i="2"/>
  <c r="D44" i="1"/>
  <c r="G43" i="1"/>
  <c r="F43" i="1"/>
  <c r="C44" i="2" l="1"/>
  <c r="E44" i="2"/>
  <c r="H44" i="2"/>
  <c r="H44" i="1"/>
  <c r="C44" i="1"/>
  <c r="E44" i="1"/>
  <c r="G44" i="2" l="1"/>
  <c r="F44" i="2"/>
  <c r="D45" i="1"/>
  <c r="G44" i="1"/>
  <c r="F44" i="1"/>
  <c r="C45" i="2" l="1"/>
  <c r="H45" i="2"/>
  <c r="E45" i="2"/>
  <c r="H45" i="1"/>
  <c r="C45" i="1"/>
  <c r="E45" i="1"/>
  <c r="G45" i="2" l="1"/>
  <c r="F45" i="2"/>
  <c r="D46" i="1"/>
  <c r="G45" i="1"/>
  <c r="F45" i="1"/>
  <c r="C46" i="2" l="1"/>
  <c r="H46" i="2"/>
  <c r="E46" i="2"/>
  <c r="H46" i="1"/>
  <c r="E46" i="1"/>
  <c r="C46" i="1"/>
  <c r="G46" i="2" l="1"/>
  <c r="F46" i="2"/>
  <c r="D47" i="1"/>
  <c r="G46" i="1"/>
  <c r="F46" i="1"/>
  <c r="H47" i="2" l="1"/>
  <c r="E47" i="2"/>
  <c r="C47" i="2"/>
  <c r="H47" i="1"/>
  <c r="C47" i="1"/>
  <c r="E47" i="1"/>
  <c r="G47" i="2" l="1"/>
  <c r="F47" i="2"/>
  <c r="D48" i="1"/>
  <c r="G47" i="1"/>
  <c r="F47" i="1"/>
  <c r="E48" i="2" l="1"/>
  <c r="C48" i="2"/>
  <c r="H48" i="2"/>
  <c r="H48" i="1"/>
  <c r="E48" i="1"/>
  <c r="C48" i="1"/>
  <c r="G48" i="2" l="1"/>
  <c r="F48" i="2"/>
  <c r="D49" i="1"/>
  <c r="G48" i="1"/>
  <c r="F48" i="1"/>
  <c r="C49" i="2" l="1"/>
  <c r="H49" i="2"/>
  <c r="E49" i="2"/>
  <c r="H49" i="1"/>
  <c r="C49" i="1"/>
  <c r="E49" i="1"/>
  <c r="F49" i="2" l="1"/>
  <c r="G49" i="2"/>
  <c r="D50" i="1"/>
  <c r="G49" i="1"/>
  <c r="F49" i="1"/>
  <c r="C50" i="2" l="1"/>
  <c r="H50" i="2"/>
  <c r="E50" i="2"/>
  <c r="H50" i="1"/>
  <c r="E50" i="1"/>
  <c r="C50" i="1"/>
  <c r="F50" i="2" l="1"/>
  <c r="G50" i="2"/>
  <c r="G50" i="1"/>
  <c r="F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15" authorId="0" shapeId="0" xr:uid="{BB801FB9-9B98-40BF-861E-B8AB2044E3E0}">
      <text>
        <r>
          <rPr>
            <b/>
            <sz val="9"/>
            <color indexed="81"/>
            <rFont val="Tahoma"/>
            <family val="2"/>
          </rPr>
          <t>Shock:</t>
        </r>
        <r>
          <rPr>
            <sz val="9"/>
            <color indexed="81"/>
            <rFont val="Tahoma"/>
            <family val="2"/>
          </rPr>
          <t xml:space="preserve">
de "s"</t>
        </r>
      </text>
    </comment>
    <comment ref="B57" authorId="0" shapeId="0" xr:uid="{1FD03BF7-DCA6-4271-A7B5-CBCD9852E6A1}">
      <text>
        <r>
          <rPr>
            <b/>
            <sz val="9"/>
            <color indexed="81"/>
            <rFont val="Tahoma"/>
            <family val="2"/>
          </rPr>
          <t>Shock:</t>
        </r>
        <r>
          <rPr>
            <sz val="9"/>
            <color indexed="81"/>
            <rFont val="Tahoma"/>
            <family val="2"/>
          </rPr>
          <t xml:space="preserve">
de "s"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15" authorId="0" shapeId="0" xr:uid="{33AE70BE-0A5E-4081-B2C9-4CB6D7AE1792}">
      <text>
        <r>
          <rPr>
            <b/>
            <sz val="9"/>
            <color indexed="81"/>
            <rFont val="Tahoma"/>
            <family val="2"/>
          </rPr>
          <t>Shock:</t>
        </r>
        <r>
          <rPr>
            <sz val="9"/>
            <color indexed="81"/>
            <rFont val="Tahoma"/>
            <family val="2"/>
          </rPr>
          <t xml:space="preserve">
de "s"</t>
        </r>
      </text>
    </comment>
    <comment ref="B57" authorId="0" shapeId="0" xr:uid="{8B01C963-C731-40C7-B799-A194A8F33CC4}">
      <text>
        <r>
          <rPr>
            <b/>
            <sz val="9"/>
            <color indexed="81"/>
            <rFont val="Tahoma"/>
            <family val="2"/>
          </rPr>
          <t>Shock:</t>
        </r>
        <r>
          <rPr>
            <sz val="9"/>
            <color indexed="81"/>
            <rFont val="Tahoma"/>
            <family val="2"/>
          </rPr>
          <t xml:space="preserve">
de "s"</t>
        </r>
      </text>
    </comment>
  </commentList>
</comments>
</file>

<file path=xl/sharedStrings.xml><?xml version="1.0" encoding="utf-8"?>
<sst xmlns="http://schemas.openxmlformats.org/spreadsheetml/2006/main" count="51" uniqueCount="22">
  <si>
    <t>y</t>
  </si>
  <si>
    <t>t</t>
  </si>
  <si>
    <t>k</t>
  </si>
  <si>
    <t>s</t>
  </si>
  <si>
    <t>Modelo de Solow</t>
  </si>
  <si>
    <t>α</t>
  </si>
  <si>
    <t>A</t>
  </si>
  <si>
    <t>δ</t>
  </si>
  <si>
    <t>Condiciones iniciales</t>
  </si>
  <si>
    <t>k0</t>
  </si>
  <si>
    <t>Lecturer: Luis Chávez, 2025 ©</t>
  </si>
  <si>
    <t>-</t>
  </si>
  <si>
    <t>Parámetros shock</t>
  </si>
  <si>
    <t>Parámetros base</t>
  </si>
  <si>
    <r>
      <t>γ</t>
    </r>
    <r>
      <rPr>
        <b/>
        <vertAlign val="subscript"/>
        <sz val="11"/>
        <color theme="1"/>
        <rFont val="Calibri"/>
        <family val="2"/>
      </rPr>
      <t>k</t>
    </r>
  </si>
  <si>
    <r>
      <t>γ</t>
    </r>
    <r>
      <rPr>
        <b/>
        <vertAlign val="subscript"/>
        <sz val="11"/>
        <color theme="1"/>
        <rFont val="Calibri"/>
        <family val="2"/>
      </rPr>
      <t>y</t>
    </r>
  </si>
  <si>
    <t>sy</t>
  </si>
  <si>
    <t>δk</t>
  </si>
  <si>
    <t>k* (0)</t>
  </si>
  <si>
    <t>k* (1)</t>
  </si>
  <si>
    <t>c</t>
  </si>
  <si>
    <t>Δk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</si>
</sst>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Brush Script MT"/>
      <family val="4"/>
    </font>
    <font>
      <b/>
      <sz val="10"/>
      <color theme="1"/>
      <name val="Lucida Calligraphy"/>
      <family val="4"/>
    </font>
    <font>
      <sz val="10"/>
      <color theme="1"/>
      <name val="Lucida Calligraphy"/>
      <family val="4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F0"/>
      <name val="Calibri"/>
      <family val="2"/>
      <scheme val="minor"/>
    </font>
    <font>
      <b/>
      <vertAlign val="subscript"/>
      <sz val="11"/>
      <color theme="1"/>
      <name val="Calibri"/>
      <family val="2"/>
    </font>
    <font>
      <b/>
      <sz val="8"/>
      <color theme="1"/>
      <name val="Lucida Calligraphy"/>
      <family val="4"/>
    </font>
    <font>
      <b/>
      <sz val="12"/>
      <color rgb="FF002060"/>
      <name val="Lucida Calligraphy"/>
      <family val="4"/>
    </font>
  </fonts>
  <fills count="4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6" fillId="0" borderId="9" xfId="0" applyNumberFormat="1" applyFont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CC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/>
              <a:t>PBI</a:t>
            </a:r>
            <a:r>
              <a:rPr lang="es-PE" b="1" baseline="0"/>
              <a:t> percápita y C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enfoque1!$C$10</c:f>
              <c:strCache>
                <c:ptCount val="1"/>
                <c:pt idx="0">
                  <c:v>y</c:v>
                </c:pt>
              </c:strCache>
            </c:strRef>
          </c:tx>
          <c:marker>
            <c:symbol val="none"/>
          </c:marker>
          <c:cat>
            <c:numRef>
              <c:f>enfoque1!$B$11:$B$50</c:f>
              <c:numCache>
                <c:formatCode>General</c:formatCode>
                <c:ptCount val="4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</c:numCache>
            </c:numRef>
          </c:cat>
          <c:val>
            <c:numRef>
              <c:f>enfoque1!$C$11:$C$50</c:f>
              <c:numCache>
                <c:formatCode>0.00</c:formatCode>
                <c:ptCount val="40"/>
                <c:pt idx="0">
                  <c:v>1.4142135623730951</c:v>
                </c:pt>
                <c:pt idx="1">
                  <c:v>1.6578685525167118</c:v>
                </c:pt>
                <c:pt idx="2">
                  <c:v>1.8989004350051351</c:v>
                </c:pt>
                <c:pt idx="3">
                  <c:v>2.1365561026948572</c:v>
                </c:pt>
                <c:pt idx="4">
                  <c:v>2.3832207467871154</c:v>
                </c:pt>
                <c:pt idx="5">
                  <c:v>2.6245095057273402</c:v>
                </c:pt>
                <c:pt idx="6">
                  <c:v>2.8601920067779973</c:v>
                </c:pt>
                <c:pt idx="7">
                  <c:v>3.0901425891217773</c:v>
                </c:pt>
                <c:pt idx="8">
                  <c:v>3.3143076246430629</c:v>
                </c:pt>
                <c:pt idx="9">
                  <c:v>3.5326840907359807</c:v>
                </c:pt>
                <c:pt idx="10">
                  <c:v>3.745305078471064</c:v>
                </c:pt>
                <c:pt idx="11">
                  <c:v>3.9522297281380379</c:v>
                </c:pt>
                <c:pt idx="12">
                  <c:v>4.1535360787922748</c:v>
                </c:pt>
                <c:pt idx="13">
                  <c:v>4.3493158877660676</c:v>
                </c:pt>
                <c:pt idx="14">
                  <c:v>4.5396708137405533</c:v>
                </c:pt>
                <c:pt idx="15">
                  <c:v>4.7247095635849945</c:v>
                </c:pt>
                <c:pt idx="16">
                  <c:v>4.9045457331895541</c:v>
                </c:pt>
                <c:pt idx="17">
                  <c:v>5.0792961564161816</c:v>
                </c:pt>
                <c:pt idx="18">
                  <c:v>5.2490796316668371</c:v>
                </c:pt>
                <c:pt idx="19">
                  <c:v>5.4140159328716724</c:v>
                </c:pt>
                <c:pt idx="20">
                  <c:v>5.5742250373008453</c:v>
                </c:pt>
                <c:pt idx="21">
                  <c:v>5.7298265204741465</c:v>
                </c:pt>
                <c:pt idx="22">
                  <c:v>5.8809390811122437</c:v>
                </c:pt>
                <c:pt idx="23">
                  <c:v>6.0276801681850269</c:v>
                </c:pt>
                <c:pt idx="24">
                  <c:v>6.1701656887522454</c:v>
                </c:pt>
                <c:pt idx="25">
                  <c:v>6.3085097801893832</c:v>
                </c:pt>
                <c:pt idx="26">
                  <c:v>6.4428246340454969</c:v>
                </c:pt>
                <c:pt idx="27">
                  <c:v>6.573220361534311</c:v>
                </c:pt>
                <c:pt idx="28">
                  <c:v>6.6998048927568927</c:v>
                </c:pt>
                <c:pt idx="29">
                  <c:v>6.8226839033653484</c:v>
                </c:pt>
                <c:pt idx="30">
                  <c:v>6.9419607636253371</c:v>
                </c:pt>
                <c:pt idx="31">
                  <c:v>7.0577365058102952</c:v>
                </c:pt>
                <c:pt idx="32">
                  <c:v>7.1701098066275915</c:v>
                </c:pt>
                <c:pt idx="33">
                  <c:v>7.2791769819849321</c:v>
                </c:pt>
                <c:pt idx="34">
                  <c:v>7.3850319918904823</c:v>
                </c:pt>
                <c:pt idx="35">
                  <c:v>7.4877664536696091</c:v>
                </c:pt>
                <c:pt idx="36">
                  <c:v>7.5874696619955726</c:v>
                </c:pt>
                <c:pt idx="37">
                  <c:v>7.6842286144868259</c:v>
                </c:pt>
                <c:pt idx="38">
                  <c:v>7.7781280418319598</c:v>
                </c:pt>
                <c:pt idx="39">
                  <c:v>7.8692504415741835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C1-41C9-B9FF-E80AD94D3685}"/>
            </c:ext>
          </c:extLst>
        </c:ser>
        <c:ser>
          <c:idx val="0"/>
          <c:order val="1"/>
          <c:tx>
            <c:strRef>
              <c:f>enfoque1!$J$10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enfoque1!$B$11:$B$50</c:f>
              <c:numCache>
                <c:formatCode>General</c:formatCode>
                <c:ptCount val="4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</c:numCache>
            </c:numRef>
          </c:cat>
          <c:val>
            <c:numRef>
              <c:f>enfoque1!$J$11:$J$50</c:f>
              <c:numCache>
                <c:formatCode>General</c:formatCode>
                <c:ptCount val="40"/>
                <c:pt idx="0">
                  <c:v>0.56568542494923812</c:v>
                </c:pt>
                <c:pt idx="1">
                  <c:v>0.66314742100668478</c:v>
                </c:pt>
                <c:pt idx="2">
                  <c:v>0.75956017400205411</c:v>
                </c:pt>
                <c:pt idx="3">
                  <c:v>0.85462244107794294</c:v>
                </c:pt>
                <c:pt idx="4">
                  <c:v>0.95328829871484622</c:v>
                </c:pt>
                <c:pt idx="5">
                  <c:v>1.0498038022909362</c:v>
                </c:pt>
                <c:pt idx="6">
                  <c:v>1.1440768027111989</c:v>
                </c:pt>
                <c:pt idx="7">
                  <c:v>1.2360570356487111</c:v>
                </c:pt>
                <c:pt idx="8">
                  <c:v>1.3257230498572252</c:v>
                </c:pt>
                <c:pt idx="9">
                  <c:v>1.4130736362943923</c:v>
                </c:pt>
                <c:pt idx="10">
                  <c:v>1.4981220313884256</c:v>
                </c:pt>
                <c:pt idx="11">
                  <c:v>1.5808918912552152</c:v>
                </c:pt>
                <c:pt idx="12">
                  <c:v>1.6614144315169099</c:v>
                </c:pt>
                <c:pt idx="13">
                  <c:v>1.739726355106427</c:v>
                </c:pt>
                <c:pt idx="14">
                  <c:v>1.8158683254962213</c:v>
                </c:pt>
                <c:pt idx="15">
                  <c:v>1.8898838254339978</c:v>
                </c:pt>
                <c:pt idx="16">
                  <c:v>1.9618182932758217</c:v>
                </c:pt>
                <c:pt idx="17">
                  <c:v>2.0317184625664728</c:v>
                </c:pt>
                <c:pt idx="18">
                  <c:v>2.099631852666735</c:v>
                </c:pt>
                <c:pt idx="19">
                  <c:v>2.1656063731486692</c:v>
                </c:pt>
                <c:pt idx="20">
                  <c:v>2.229690014920338</c:v>
                </c:pt>
                <c:pt idx="21">
                  <c:v>2.2919306081896589</c:v>
                </c:pt>
                <c:pt idx="22">
                  <c:v>2.3523756324448977</c:v>
                </c:pt>
                <c:pt idx="23">
                  <c:v>2.4110720672740111</c:v>
                </c:pt>
                <c:pt idx="24">
                  <c:v>2.4680662755008984</c:v>
                </c:pt>
                <c:pt idx="25">
                  <c:v>2.5234039120757537</c:v>
                </c:pt>
                <c:pt idx="26">
                  <c:v>2.577129853618199</c:v>
                </c:pt>
                <c:pt idx="27">
                  <c:v>2.6292881446137244</c:v>
                </c:pt>
                <c:pt idx="28">
                  <c:v>2.6799219571027573</c:v>
                </c:pt>
                <c:pt idx="29">
                  <c:v>2.7290735613461394</c:v>
                </c:pt>
                <c:pt idx="30">
                  <c:v>2.7767843054501351</c:v>
                </c:pt>
                <c:pt idx="31">
                  <c:v>2.8230946023241184</c:v>
                </c:pt>
                <c:pt idx="32">
                  <c:v>2.8680439226510366</c:v>
                </c:pt>
                <c:pt idx="33">
                  <c:v>2.9116707927939731</c:v>
                </c:pt>
                <c:pt idx="34">
                  <c:v>2.9540127967561931</c:v>
                </c:pt>
                <c:pt idx="35">
                  <c:v>2.9951065814678439</c:v>
                </c:pt>
                <c:pt idx="36">
                  <c:v>3.0349878647982291</c:v>
                </c:pt>
                <c:pt idx="37">
                  <c:v>3.0736914457947306</c:v>
                </c:pt>
                <c:pt idx="38">
                  <c:v>3.1112512167327839</c:v>
                </c:pt>
                <c:pt idx="39">
                  <c:v>3.1477001766296735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C1-41C9-B9FF-E80AD94D3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8845616"/>
        <c:axId val="308844368"/>
      </c:lineChart>
      <c:catAx>
        <c:axId val="30884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08844368"/>
        <c:crosses val="autoZero"/>
        <c:auto val="1"/>
        <c:lblAlgn val="ctr"/>
        <c:lblOffset val="100"/>
        <c:noMultiLvlLbl val="0"/>
      </c:catAx>
      <c:valAx>
        <c:axId val="308844368"/>
        <c:scaling>
          <c:orientation val="minMax"/>
        </c:scaling>
        <c:delete val="0"/>
        <c:axPos val="l"/>
        <c:title>
          <c:overlay val="0"/>
        </c:title>
        <c:numFmt formatCode="0.00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08845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/>
              <a:t>Tasa</a:t>
            </a:r>
            <a:r>
              <a:rPr lang="es-PE" b="1" baseline="0"/>
              <a:t>s de crecimiento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enfoque1!$E$10</c:f>
              <c:strCache>
                <c:ptCount val="1"/>
                <c:pt idx="0">
                  <c:v>γk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enfoque1!$B$11:$B$50</c:f>
              <c:numCache>
                <c:formatCode>General</c:formatCode>
                <c:ptCount val="4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</c:numCache>
            </c:numRef>
          </c:cat>
          <c:val>
            <c:numRef>
              <c:f>enfoque1!$E$11:$E$50</c:f>
              <c:numCache>
                <c:formatCode>0.00</c:formatCode>
                <c:ptCount val="40"/>
                <c:pt idx="0" formatCode="General">
                  <c:v>0</c:v>
                </c:pt>
                <c:pt idx="1">
                  <c:v>37.426406871192853</c:v>
                </c:pt>
                <c:pt idx="2">
                  <c:v>31.191047781754211</c:v>
                </c:pt>
                <c:pt idx="3">
                  <c:v>26.597233269282871</c:v>
                </c:pt>
                <c:pt idx="4">
                  <c:v>24.422791106685615</c:v>
                </c:pt>
                <c:pt idx="5">
                  <c:v>21.274015672961987</c:v>
                </c:pt>
                <c:pt idx="6">
                  <c:v>18.766532511371594</c:v>
                </c:pt>
                <c:pt idx="7">
                  <c:v>16.725747028858539</c:v>
                </c:pt>
                <c:pt idx="8">
                  <c:v>15.034628055294075</c:v>
                </c:pt>
                <c:pt idx="9">
                  <c:v>13.61193931326763</c:v>
                </c:pt>
                <c:pt idx="10">
                  <c:v>12.399607304387693</c:v>
                </c:pt>
                <c:pt idx="11">
                  <c:v>11.355061507174934</c:v>
                </c:pt>
                <c:pt idx="12">
                  <c:v>10.446412397849802</c:v>
                </c:pt>
                <c:pt idx="13">
                  <c:v>9.6493163335901642</c:v>
                </c:pt>
                <c:pt idx="14">
                  <c:v>8.9448790746228912</c:v>
                </c:pt>
                <c:pt idx="15">
                  <c:v>8.3182188019580003</c:v>
                </c:pt>
                <c:pt idx="16">
                  <c:v>7.7574594004630182</c:v>
                </c:pt>
                <c:pt idx="17">
                  <c:v>7.2530112952436054</c:v>
                </c:pt>
                <c:pt idx="18">
                  <c:v>6.7970486457836765</c:v>
                </c:pt>
                <c:pt idx="19">
                  <c:v>6.3831232446666553</c:v>
                </c:pt>
                <c:pt idx="20">
                  <c:v>6.0058752700276941</c:v>
                </c:pt>
                <c:pt idx="21">
                  <c:v>5.6608137570768768</c:v>
                </c:pt>
                <c:pt idx="22">
                  <c:v>5.3441479890775412</c:v>
                </c:pt>
                <c:pt idx="23">
                  <c:v>5.0526565746548568</c:v>
                </c:pt>
                <c:pt idx="24">
                  <c:v>4.7835847600341097</c:v>
                </c:pt>
                <c:pt idx="25">
                  <c:v>4.5345631347453397</c:v>
                </c:pt>
                <c:pt idx="26">
                  <c:v>4.3035427168741869</c:v>
                </c:pt>
                <c:pt idx="27">
                  <c:v>4.0887427009147048</c:v>
                </c:pt>
                <c:pt idx="28">
                  <c:v>3.8886080832421177</c:v>
                </c:pt>
                <c:pt idx="29">
                  <c:v>3.7017750576992192</c:v>
                </c:pt>
                <c:pt idx="30">
                  <c:v>3.5270425716100062</c:v>
                </c:pt>
                <c:pt idx="31">
                  <c:v>3.3633488020544</c:v>
                </c:pt>
                <c:pt idx="32">
                  <c:v>3.2097515891233108</c:v>
                </c:pt>
                <c:pt idx="33">
                  <c:v>3.0654120721997913</c:v>
                </c:pt>
                <c:pt idx="34">
                  <c:v>2.9295809348868662</c:v>
                </c:pt>
                <c:pt idx="35">
                  <c:v>2.8015867868110167</c:v>
                </c:pt>
                <c:pt idx="36">
                  <c:v>2.6808263054391546</c:v>
                </c:pt>
                <c:pt idx="37">
                  <c:v>2.5667558350281894</c:v>
                </c:pt>
                <c:pt idx="38">
                  <c:v>2.4588841978826048</c:v>
                </c:pt>
                <c:pt idx="39">
                  <c:v>2.3567665189387466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87-4E02-A566-57C073F049BA}"/>
            </c:ext>
          </c:extLst>
        </c:ser>
        <c:ser>
          <c:idx val="3"/>
          <c:order val="1"/>
          <c:tx>
            <c:strRef>
              <c:f>enfoque1!$F$10</c:f>
              <c:strCache>
                <c:ptCount val="1"/>
                <c:pt idx="0">
                  <c:v>γy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enfoque1!$B$11:$B$50</c:f>
              <c:numCache>
                <c:formatCode>General</c:formatCode>
                <c:ptCount val="4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</c:numCache>
            </c:numRef>
          </c:cat>
          <c:val>
            <c:numRef>
              <c:f>enfoque1!$F$11:$F$50</c:f>
              <c:numCache>
                <c:formatCode>0.00</c:formatCode>
                <c:ptCount val="40"/>
                <c:pt idx="0" formatCode="General">
                  <c:v>0</c:v>
                </c:pt>
                <c:pt idx="1">
                  <c:v>17.229009580049272</c:v>
                </c:pt>
                <c:pt idx="2">
                  <c:v>14.53866062677449</c:v>
                </c:pt>
                <c:pt idx="3">
                  <c:v>12.515435949598874</c:v>
                </c:pt>
                <c:pt idx="4">
                  <c:v>11.544964524036505</c:v>
                </c:pt>
                <c:pt idx="5">
                  <c:v>10.124482143146519</c:v>
                </c:pt>
                <c:pt idx="6">
                  <c:v>8.9800589609730253</c:v>
                </c:pt>
                <c:pt idx="7">
                  <c:v>8.0396904053591456</c:v>
                </c:pt>
                <c:pt idx="8">
                  <c:v>7.2541971464492816</c:v>
                </c:pt>
                <c:pt idx="9">
                  <c:v>6.5889015391694672</c:v>
                </c:pt>
                <c:pt idx="10">
                  <c:v>6.0186810446100969</c:v>
                </c:pt>
                <c:pt idx="11">
                  <c:v>5.524907726647621</c:v>
                </c:pt>
                <c:pt idx="12">
                  <c:v>5.0934880941011507</c:v>
                </c:pt>
                <c:pt idx="13">
                  <c:v>4.713569480554991</c:v>
                </c:pt>
                <c:pt idx="14">
                  <c:v>4.3766636153038219</c:v>
                </c:pt>
                <c:pt idx="15">
                  <c:v>4.0760389340207537</c:v>
                </c:pt>
                <c:pt idx="16">
                  <c:v>3.8062904647223395</c:v>
                </c:pt>
                <c:pt idx="17">
                  <c:v>3.5630297428786095</c:v>
                </c:pt>
                <c:pt idx="18">
                  <c:v>3.3426575262043734</c:v>
                </c:pt>
                <c:pt idx="19">
                  <c:v>3.1421946851368343</c:v>
                </c:pt>
                <c:pt idx="20">
                  <c:v>2.9591546536915203</c:v>
                </c:pt>
                <c:pt idx="21">
                  <c:v>2.791446024013533</c:v>
                </c:pt>
                <c:pt idx="22">
                  <c:v>2.637297309056974</c:v>
                </c:pt>
                <c:pt idx="23">
                  <c:v>2.4951982166261599</c:v>
                </c:pt>
                <c:pt idx="24">
                  <c:v>2.3638533663295158</c:v>
                </c:pt>
                <c:pt idx="25">
                  <c:v>2.2421454854823164</c:v>
                </c:pt>
                <c:pt idx="26">
                  <c:v>2.129105898795669</c:v>
                </c:pt>
                <c:pt idx="27">
                  <c:v>2.0238906829742165</c:v>
                </c:pt>
                <c:pt idx="28">
                  <c:v>1.9257612594785201</c:v>
                </c:pt>
                <c:pt idx="29">
                  <c:v>1.8340684926705819</c:v>
                </c:pt>
                <c:pt idx="30">
                  <c:v>1.7482395776998283</c:v>
                </c:pt>
                <c:pt idx="31">
                  <c:v>1.667767164453049</c:v>
                </c:pt>
                <c:pt idx="32">
                  <c:v>1.5922002858109741</c:v>
                </c:pt>
                <c:pt idx="33">
                  <c:v>1.5211367510233442</c:v>
                </c:pt>
                <c:pt idx="34">
                  <c:v>1.4542167358690072</c:v>
                </c:pt>
                <c:pt idx="35">
                  <c:v>1.3911173559158607</c:v>
                </c:pt>
                <c:pt idx="36">
                  <c:v>1.331548051650322</c:v>
                </c:pt>
                <c:pt idx="37">
                  <c:v>1.275246647454864</c:v>
                </c:pt>
                <c:pt idx="38">
                  <c:v>1.2219759725538237</c:v>
                </c:pt>
                <c:pt idx="39">
                  <c:v>1.1715209527556336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87-4E02-A566-57C073F04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3839856"/>
        <c:axId val="323850256"/>
      </c:lineChart>
      <c:catAx>
        <c:axId val="32383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23850256"/>
        <c:crosses val="autoZero"/>
        <c:auto val="1"/>
        <c:lblAlgn val="ctr"/>
        <c:lblOffset val="100"/>
        <c:noMultiLvlLbl val="0"/>
      </c:catAx>
      <c:valAx>
        <c:axId val="323850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2383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/>
              <a:t>Estado</a:t>
            </a:r>
            <a:r>
              <a:rPr lang="es-PE" baseline="0"/>
              <a:t> </a:t>
            </a:r>
            <a:r>
              <a:rPr lang="es-PE" b="1" baseline="0"/>
              <a:t>Estacionario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enfoque1!$C$10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enfoque1!$B$11:$B$50</c:f>
              <c:numCache>
                <c:formatCode>General</c:formatCode>
                <c:ptCount val="4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</c:numCache>
            </c:numRef>
          </c:cat>
          <c:val>
            <c:numRef>
              <c:f>enfoque1!$C$11:$C$50</c:f>
              <c:numCache>
                <c:formatCode>0.00</c:formatCode>
                <c:ptCount val="40"/>
                <c:pt idx="0">
                  <c:v>1.4142135623730951</c:v>
                </c:pt>
                <c:pt idx="1">
                  <c:v>1.6578685525167118</c:v>
                </c:pt>
                <c:pt idx="2">
                  <c:v>1.8989004350051351</c:v>
                </c:pt>
                <c:pt idx="3">
                  <c:v>2.1365561026948572</c:v>
                </c:pt>
                <c:pt idx="4">
                  <c:v>2.3832207467871154</c:v>
                </c:pt>
                <c:pt idx="5">
                  <c:v>2.6245095057273402</c:v>
                </c:pt>
                <c:pt idx="6">
                  <c:v>2.8601920067779973</c:v>
                </c:pt>
                <c:pt idx="7">
                  <c:v>3.0901425891217773</c:v>
                </c:pt>
                <c:pt idx="8">
                  <c:v>3.3143076246430629</c:v>
                </c:pt>
                <c:pt idx="9">
                  <c:v>3.5326840907359807</c:v>
                </c:pt>
                <c:pt idx="10">
                  <c:v>3.745305078471064</c:v>
                </c:pt>
                <c:pt idx="11">
                  <c:v>3.9522297281380379</c:v>
                </c:pt>
                <c:pt idx="12">
                  <c:v>4.1535360787922748</c:v>
                </c:pt>
                <c:pt idx="13">
                  <c:v>4.3493158877660676</c:v>
                </c:pt>
                <c:pt idx="14">
                  <c:v>4.5396708137405533</c:v>
                </c:pt>
                <c:pt idx="15">
                  <c:v>4.7247095635849945</c:v>
                </c:pt>
                <c:pt idx="16">
                  <c:v>4.9045457331895541</c:v>
                </c:pt>
                <c:pt idx="17">
                  <c:v>5.0792961564161816</c:v>
                </c:pt>
                <c:pt idx="18">
                  <c:v>5.2490796316668371</c:v>
                </c:pt>
                <c:pt idx="19">
                  <c:v>5.4140159328716724</c:v>
                </c:pt>
                <c:pt idx="20">
                  <c:v>5.5742250373008453</c:v>
                </c:pt>
                <c:pt idx="21">
                  <c:v>5.7298265204741465</c:v>
                </c:pt>
                <c:pt idx="22">
                  <c:v>5.8809390811122437</c:v>
                </c:pt>
                <c:pt idx="23">
                  <c:v>6.0276801681850269</c:v>
                </c:pt>
                <c:pt idx="24">
                  <c:v>6.1701656887522454</c:v>
                </c:pt>
                <c:pt idx="25">
                  <c:v>6.3085097801893832</c:v>
                </c:pt>
                <c:pt idx="26">
                  <c:v>6.4428246340454969</c:v>
                </c:pt>
                <c:pt idx="27">
                  <c:v>6.573220361534311</c:v>
                </c:pt>
                <c:pt idx="28">
                  <c:v>6.6998048927568927</c:v>
                </c:pt>
                <c:pt idx="29">
                  <c:v>6.8226839033653484</c:v>
                </c:pt>
                <c:pt idx="30">
                  <c:v>6.9419607636253371</c:v>
                </c:pt>
                <c:pt idx="31">
                  <c:v>7.0577365058102952</c:v>
                </c:pt>
                <c:pt idx="32">
                  <c:v>7.1701098066275915</c:v>
                </c:pt>
                <c:pt idx="33">
                  <c:v>7.2791769819849321</c:v>
                </c:pt>
                <c:pt idx="34">
                  <c:v>7.3850319918904823</c:v>
                </c:pt>
                <c:pt idx="35">
                  <c:v>7.4877664536696091</c:v>
                </c:pt>
                <c:pt idx="36">
                  <c:v>7.5874696619955726</c:v>
                </c:pt>
                <c:pt idx="37">
                  <c:v>7.6842286144868259</c:v>
                </c:pt>
                <c:pt idx="38">
                  <c:v>7.7781280418319598</c:v>
                </c:pt>
                <c:pt idx="39">
                  <c:v>7.8692504415741835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6E-4B50-A656-854F9F373273}"/>
            </c:ext>
          </c:extLst>
        </c:ser>
        <c:ser>
          <c:idx val="4"/>
          <c:order val="1"/>
          <c:tx>
            <c:strRef>
              <c:f>enfoque1!$G$10</c:f>
              <c:strCache>
                <c:ptCount val="1"/>
                <c:pt idx="0">
                  <c:v>sy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enfoque1!$B$11:$B$50</c:f>
              <c:numCache>
                <c:formatCode>General</c:formatCode>
                <c:ptCount val="4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</c:numCache>
            </c:numRef>
          </c:cat>
          <c:val>
            <c:numRef>
              <c:f>enfoque1!$G$11:$G$50</c:f>
              <c:numCache>
                <c:formatCode>0.00</c:formatCode>
                <c:ptCount val="40"/>
                <c:pt idx="0">
                  <c:v>0.84852813742385702</c:v>
                </c:pt>
                <c:pt idx="1">
                  <c:v>0.99472113151002706</c:v>
                </c:pt>
                <c:pt idx="2">
                  <c:v>1.1393402610030809</c:v>
                </c:pt>
                <c:pt idx="3">
                  <c:v>1.2819336616169144</c:v>
                </c:pt>
                <c:pt idx="4">
                  <c:v>1.5490934854116249</c:v>
                </c:pt>
                <c:pt idx="5">
                  <c:v>1.7059311787227711</c:v>
                </c:pt>
                <c:pt idx="6">
                  <c:v>1.8591248044056983</c:v>
                </c:pt>
                <c:pt idx="7">
                  <c:v>2.0085926829291552</c:v>
                </c:pt>
                <c:pt idx="8">
                  <c:v>2.154299956017991</c:v>
                </c:pt>
                <c:pt idx="9">
                  <c:v>2.2962446589783876</c:v>
                </c:pt>
                <c:pt idx="10">
                  <c:v>2.4344483010061917</c:v>
                </c:pt>
                <c:pt idx="11">
                  <c:v>2.5689493232897247</c:v>
                </c:pt>
                <c:pt idx="12">
                  <c:v>2.6997984512149786</c:v>
                </c:pt>
                <c:pt idx="13">
                  <c:v>2.8270553270479439</c:v>
                </c:pt>
                <c:pt idx="14">
                  <c:v>2.9507860289313599</c:v>
                </c:pt>
                <c:pt idx="15">
                  <c:v>3.0710612163302464</c:v>
                </c:pt>
                <c:pt idx="16">
                  <c:v>3.1879547265732104</c:v>
                </c:pt>
                <c:pt idx="17">
                  <c:v>3.301542501670518</c:v>
                </c:pt>
                <c:pt idx="18">
                  <c:v>3.4119017605834441</c:v>
                </c:pt>
                <c:pt idx="19">
                  <c:v>3.5191103563665873</c:v>
                </c:pt>
                <c:pt idx="20">
                  <c:v>3.6232462742455493</c:v>
                </c:pt>
                <c:pt idx="21">
                  <c:v>3.7243872383081955</c:v>
                </c:pt>
                <c:pt idx="22">
                  <c:v>3.8226104027229586</c:v>
                </c:pt>
                <c:pt idx="23">
                  <c:v>3.9179921093202679</c:v>
                </c:pt>
                <c:pt idx="24">
                  <c:v>4.0106076976889593</c:v>
                </c:pt>
                <c:pt idx="25">
                  <c:v>4.1005313571230992</c:v>
                </c:pt>
                <c:pt idx="26">
                  <c:v>4.1878360121295728</c:v>
                </c:pt>
                <c:pt idx="27">
                  <c:v>4.2725932349973021</c:v>
                </c:pt>
                <c:pt idx="28">
                  <c:v>4.35487318029198</c:v>
                </c:pt>
                <c:pt idx="29">
                  <c:v>4.434744537187477</c:v>
                </c:pt>
                <c:pt idx="30">
                  <c:v>4.5122744963564694</c:v>
                </c:pt>
                <c:pt idx="31">
                  <c:v>4.5875287287766922</c:v>
                </c:pt>
                <c:pt idx="32">
                  <c:v>4.6605713743079349</c:v>
                </c:pt>
                <c:pt idx="33">
                  <c:v>4.7314650382902057</c:v>
                </c:pt>
                <c:pt idx="34">
                  <c:v>4.8002707947288137</c:v>
                </c:pt>
                <c:pt idx="35">
                  <c:v>4.8670481948852462</c:v>
                </c:pt>
                <c:pt idx="36">
                  <c:v>4.9318552802971221</c:v>
                </c:pt>
                <c:pt idx="37">
                  <c:v>4.9947485994164369</c:v>
                </c:pt>
                <c:pt idx="38">
                  <c:v>5.0557832271907737</c:v>
                </c:pt>
                <c:pt idx="39">
                  <c:v>5.1150127870232192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6E-4B50-A656-854F9F373273}"/>
            </c:ext>
          </c:extLst>
        </c:ser>
        <c:ser>
          <c:idx val="5"/>
          <c:order val="2"/>
          <c:tx>
            <c:strRef>
              <c:f>enfoque1!$H$10</c:f>
              <c:strCache>
                <c:ptCount val="1"/>
                <c:pt idx="0">
                  <c:v>δk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enfoque1!$B$11:$B$50</c:f>
              <c:numCache>
                <c:formatCode>General</c:formatCode>
                <c:ptCount val="4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</c:numCache>
            </c:numRef>
          </c:cat>
          <c:val>
            <c:numRef>
              <c:f>enfoque1!$H$11:$H$50</c:f>
              <c:numCache>
                <c:formatCode>0.00</c:formatCode>
                <c:ptCount val="40"/>
                <c:pt idx="0">
                  <c:v>0.1</c:v>
                </c:pt>
                <c:pt idx="1">
                  <c:v>0.13742640687119287</c:v>
                </c:pt>
                <c:pt idx="2">
                  <c:v>0.18029114310313457</c:v>
                </c:pt>
                <c:pt idx="3">
                  <c:v>0.22824359899813187</c:v>
                </c:pt>
                <c:pt idx="4">
                  <c:v>0.34078446767499215</c:v>
                </c:pt>
                <c:pt idx="5">
                  <c:v>0.41328300873919011</c:v>
                </c:pt>
                <c:pt idx="6">
                  <c:v>0.4908418989382049</c:v>
                </c:pt>
                <c:pt idx="7">
                  <c:v>0.57293887326625448</c:v>
                </c:pt>
                <c:pt idx="8">
                  <c:v>0.65907810184602855</c:v>
                </c:pt>
                <c:pt idx="9">
                  <c:v>0.74879141309634611</c:v>
                </c:pt>
                <c:pt idx="10">
                  <c:v>0.84163860784926858</c:v>
                </c:pt>
                <c:pt idx="11">
                  <c:v>0.93720718943868397</c:v>
                </c:pt>
                <c:pt idx="12">
                  <c:v>1.0351117174697464</c:v>
                </c:pt>
                <c:pt idx="13">
                  <c:v>1.1349929214944603</c:v>
                </c:pt>
                <c:pt idx="14">
                  <c:v>1.2365166658276692</c:v>
                </c:pt>
                <c:pt idx="15">
                  <c:v>1.3393728276138905</c:v>
                </c:pt>
                <c:pt idx="16">
                  <c:v>1.4432741309368717</c:v>
                </c:pt>
                <c:pt idx="17">
                  <c:v>1.5479549666750518</c:v>
                </c:pt>
                <c:pt idx="18">
                  <c:v>1.6531702187747797</c:v>
                </c:pt>
                <c:pt idx="19">
                  <c:v>1.7586941112832994</c:v>
                </c:pt>
                <c:pt idx="20">
                  <c:v>1.8643190859882965</c:v>
                </c:pt>
                <c:pt idx="21">
                  <c:v>1.9698547172837317</c:v>
                </c:pt>
                <c:pt idx="22">
                  <c:v>2.0751266685451992</c:v>
                </c:pt>
                <c:pt idx="23">
                  <c:v>2.1799756925958644</c:v>
                </c:pt>
                <c:pt idx="24">
                  <c:v>2.2842566775993283</c:v>
                </c:pt>
                <c:pt idx="25">
                  <c:v>2.3878377388047061</c:v>
                </c:pt>
                <c:pt idx="26">
                  <c:v>2.4905993559038095</c:v>
                </c:pt>
                <c:pt idx="27">
                  <c:v>2.5924335552773554</c:v>
                </c:pt>
                <c:pt idx="28">
                  <c:v>2.693243136060552</c:v>
                </c:pt>
                <c:pt idx="29">
                  <c:v>2.7929409387144375</c:v>
                </c:pt>
                <c:pt idx="30">
                  <c:v>2.89144915462282</c:v>
                </c:pt>
                <c:pt idx="31">
                  <c:v>2.9886986751268387</c:v>
                </c:pt>
                <c:pt idx="32">
                  <c:v>3.0846284783458295</c:v>
                </c:pt>
                <c:pt idx="33">
                  <c:v>3.1791850521035556</c:v>
                </c:pt>
                <c:pt idx="34">
                  <c:v>3.2723218512747545</c:v>
                </c:pt>
                <c:pt idx="35">
                  <c:v>3.3639987878819975</c:v>
                </c:pt>
                <c:pt idx="36">
                  <c:v>3.4541817523021923</c:v>
                </c:pt>
                <c:pt idx="37">
                  <c:v>3.5428421639818874</c:v>
                </c:pt>
                <c:pt idx="38">
                  <c:v>3.6299565501079605</c:v>
                </c:pt>
                <c:pt idx="39">
                  <c:v>3.7155061507329292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6E-4B50-A656-854F9F373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735792"/>
        <c:axId val="110734960"/>
      </c:lineChart>
      <c:catAx>
        <c:axId val="11073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734960"/>
        <c:crosses val="autoZero"/>
        <c:auto val="1"/>
        <c:lblAlgn val="ctr"/>
        <c:lblOffset val="100"/>
        <c:noMultiLvlLbl val="0"/>
      </c:catAx>
      <c:valAx>
        <c:axId val="11073496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73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enfoque1!$K$10</c:f>
              <c:strCache>
                <c:ptCount val="1"/>
                <c:pt idx="0">
                  <c:v>Δk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enfoque1!$B$11:$B$50</c:f>
              <c:numCache>
                <c:formatCode>General</c:formatCode>
                <c:ptCount val="4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</c:numCache>
            </c:numRef>
          </c:cat>
          <c:val>
            <c:numRef>
              <c:f>enfoque1!$K$11:$K$50</c:f>
              <c:numCache>
                <c:formatCode>General</c:formatCode>
                <c:ptCount val="40"/>
                <c:pt idx="0">
                  <c:v>0.74852813742385704</c:v>
                </c:pt>
                <c:pt idx="1">
                  <c:v>0.85729472463883416</c:v>
                </c:pt>
                <c:pt idx="2">
                  <c:v>0.9590491178999464</c:v>
                </c:pt>
                <c:pt idx="3">
                  <c:v>1.0536900626187824</c:v>
                </c:pt>
                <c:pt idx="4">
                  <c:v>1.2083090177366329</c:v>
                </c:pt>
                <c:pt idx="5">
                  <c:v>1.292648169983581</c:v>
                </c:pt>
                <c:pt idx="6">
                  <c:v>1.3682829054674934</c:v>
                </c:pt>
                <c:pt idx="7">
                  <c:v>1.4356538096629006</c:v>
                </c:pt>
                <c:pt idx="8">
                  <c:v>1.4952218541719624</c:v>
                </c:pt>
                <c:pt idx="9">
                  <c:v>1.5474532458820414</c:v>
                </c:pt>
                <c:pt idx="10">
                  <c:v>1.5928096931569231</c:v>
                </c:pt>
                <c:pt idx="11">
                  <c:v>1.6317421338510407</c:v>
                </c:pt>
                <c:pt idx="12">
                  <c:v>1.6646867337452322</c:v>
                </c:pt>
                <c:pt idx="13">
                  <c:v>1.6920624055534836</c:v>
                </c:pt>
                <c:pt idx="14">
                  <c:v>1.7142693631036907</c:v>
                </c:pt>
                <c:pt idx="15">
                  <c:v>1.7316883887163559</c:v>
                </c:pt>
                <c:pt idx="16">
                  <c:v>1.7446805956363387</c:v>
                </c:pt>
                <c:pt idx="17">
                  <c:v>1.7535875349954662</c:v>
                </c:pt>
                <c:pt idx="18">
                  <c:v>1.7587315418086644</c:v>
                </c:pt>
                <c:pt idx="19">
                  <c:v>1.7604162450832879</c:v>
                </c:pt>
                <c:pt idx="20">
                  <c:v>1.7589271882572528</c:v>
                </c:pt>
                <c:pt idx="21">
                  <c:v>1.7545325210244638</c:v>
                </c:pt>
                <c:pt idx="22">
                  <c:v>1.7474837341777594</c:v>
                </c:pt>
                <c:pt idx="23">
                  <c:v>1.7380164167244034</c:v>
                </c:pt>
                <c:pt idx="24">
                  <c:v>1.726351020089631</c:v>
                </c:pt>
                <c:pt idx="25">
                  <c:v>1.7126936183183932</c:v>
                </c:pt>
                <c:pt idx="26">
                  <c:v>1.6972366562257633</c:v>
                </c:pt>
                <c:pt idx="27">
                  <c:v>1.6801596797199467</c:v>
                </c:pt>
                <c:pt idx="28">
                  <c:v>1.661630044231428</c:v>
                </c:pt>
                <c:pt idx="29">
                  <c:v>1.6418035984730395</c:v>
                </c:pt>
                <c:pt idx="30">
                  <c:v>1.6208253417336493</c:v>
                </c:pt>
                <c:pt idx="31">
                  <c:v>1.5988300536498534</c:v>
                </c:pt>
                <c:pt idx="32">
                  <c:v>1.5759428959621054</c:v>
                </c:pt>
                <c:pt idx="33">
                  <c:v>1.5522799861866501</c:v>
                </c:pt>
                <c:pt idx="34">
                  <c:v>1.5279489434540592</c:v>
                </c:pt>
                <c:pt idx="35">
                  <c:v>1.5030494070032487</c:v>
                </c:pt>
                <c:pt idx="36">
                  <c:v>1.4776735279949298</c:v>
                </c:pt>
                <c:pt idx="37">
                  <c:v>1.4519064354345494</c:v>
                </c:pt>
                <c:pt idx="38">
                  <c:v>1.4258266770828132</c:v>
                </c:pt>
                <c:pt idx="39">
                  <c:v>1.3995066362902899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88-45AA-A2F6-9FBD27E9C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242336"/>
        <c:axId val="325244832"/>
      </c:lineChart>
      <c:catAx>
        <c:axId val="32524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25244832"/>
        <c:crosses val="autoZero"/>
        <c:auto val="1"/>
        <c:lblAlgn val="ctr"/>
        <c:lblOffset val="100"/>
        <c:noMultiLvlLbl val="0"/>
      </c:catAx>
      <c:valAx>
        <c:axId val="325244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2524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PBI per cápita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8.55531496062992E-2"/>
          <c:y val="0.16519812574268664"/>
          <c:w val="0.87446741032370956"/>
          <c:h val="0.70430665889774746"/>
        </c:manualLayout>
      </c:layout>
      <c:lineChart>
        <c:grouping val="standard"/>
        <c:varyColors val="0"/>
        <c:ser>
          <c:idx val="0"/>
          <c:order val="0"/>
          <c:tx>
            <c:strRef>
              <c:f>enfoque2!$C$10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enfoque2!$B$11:$B$50</c:f>
              <c:numCache>
                <c:formatCode>General</c:formatCode>
                <c:ptCount val="4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</c:numCache>
            </c:numRef>
          </c:cat>
          <c:val>
            <c:numRef>
              <c:f>enfoque2!$C$11:$C$50</c:f>
              <c:numCache>
                <c:formatCode>0.00</c:formatCode>
                <c:ptCount val="40"/>
                <c:pt idx="0">
                  <c:v>1</c:v>
                </c:pt>
                <c:pt idx="1">
                  <c:v>1.4142135623730951</c:v>
                </c:pt>
                <c:pt idx="2">
                  <c:v>1.7320508075688772</c:v>
                </c:pt>
                <c:pt idx="3">
                  <c:v>2</c:v>
                </c:pt>
                <c:pt idx="4">
                  <c:v>2.2360679774997898</c:v>
                </c:pt>
                <c:pt idx="5">
                  <c:v>2.4494897427831779</c:v>
                </c:pt>
                <c:pt idx="6">
                  <c:v>2.6457513110645907</c:v>
                </c:pt>
                <c:pt idx="7">
                  <c:v>2.8284271247461903</c:v>
                </c:pt>
                <c:pt idx="8">
                  <c:v>3</c:v>
                </c:pt>
                <c:pt idx="9">
                  <c:v>3.1622776601683795</c:v>
                </c:pt>
                <c:pt idx="10">
                  <c:v>3.3166247903553998</c:v>
                </c:pt>
                <c:pt idx="11">
                  <c:v>3.4641016151377544</c:v>
                </c:pt>
                <c:pt idx="12">
                  <c:v>3.6055512754639891</c:v>
                </c:pt>
                <c:pt idx="13">
                  <c:v>3.7416573867739413</c:v>
                </c:pt>
                <c:pt idx="14">
                  <c:v>3.872983346207417</c:v>
                </c:pt>
                <c:pt idx="15">
                  <c:v>4</c:v>
                </c:pt>
                <c:pt idx="16">
                  <c:v>4.1231056256176606</c:v>
                </c:pt>
                <c:pt idx="17">
                  <c:v>4.2426406871192848</c:v>
                </c:pt>
                <c:pt idx="18">
                  <c:v>4.358898943540674</c:v>
                </c:pt>
                <c:pt idx="19">
                  <c:v>4.4721359549995796</c:v>
                </c:pt>
                <c:pt idx="20">
                  <c:v>4.5825756949558398</c:v>
                </c:pt>
                <c:pt idx="21">
                  <c:v>4.6904157598234297</c:v>
                </c:pt>
                <c:pt idx="22">
                  <c:v>4.7958315233127191</c:v>
                </c:pt>
                <c:pt idx="23">
                  <c:v>4.8989794855663558</c:v>
                </c:pt>
                <c:pt idx="24">
                  <c:v>5</c:v>
                </c:pt>
                <c:pt idx="25">
                  <c:v>5.0990195135927845</c:v>
                </c:pt>
                <c:pt idx="26">
                  <c:v>5.196152422706632</c:v>
                </c:pt>
                <c:pt idx="27">
                  <c:v>5.2915026221291814</c:v>
                </c:pt>
                <c:pt idx="28">
                  <c:v>5.3851648071345037</c:v>
                </c:pt>
                <c:pt idx="29">
                  <c:v>5.4772255750516612</c:v>
                </c:pt>
                <c:pt idx="30">
                  <c:v>5.5677643628300215</c:v>
                </c:pt>
                <c:pt idx="31">
                  <c:v>5.6568542494923806</c:v>
                </c:pt>
                <c:pt idx="32">
                  <c:v>5.7445626465380286</c:v>
                </c:pt>
                <c:pt idx="33">
                  <c:v>5.8309518948453007</c:v>
                </c:pt>
                <c:pt idx="34">
                  <c:v>5.9160797830996161</c:v>
                </c:pt>
                <c:pt idx="35">
                  <c:v>6</c:v>
                </c:pt>
                <c:pt idx="36">
                  <c:v>6.0827625302982193</c:v>
                </c:pt>
                <c:pt idx="37">
                  <c:v>6.164414002968976</c:v>
                </c:pt>
                <c:pt idx="38">
                  <c:v>6.2449979983983983</c:v>
                </c:pt>
                <c:pt idx="39">
                  <c:v>6.324555320336759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98-4096-AEB8-4F7D71AB6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3858992"/>
        <c:axId val="323857328"/>
      </c:lineChart>
      <c:catAx>
        <c:axId val="32385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23857328"/>
        <c:crosses val="autoZero"/>
        <c:auto val="1"/>
        <c:lblAlgn val="ctr"/>
        <c:lblOffset val="100"/>
        <c:noMultiLvlLbl val="0"/>
      </c:catAx>
      <c:valAx>
        <c:axId val="32385732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2385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/>
              <a:t>Tasa</a:t>
            </a:r>
            <a:r>
              <a:rPr lang="es-PE" b="1" baseline="0"/>
              <a:t>s de crecimiento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enfoque2!$E$10</c:f>
              <c:strCache>
                <c:ptCount val="1"/>
                <c:pt idx="0">
                  <c:v>γk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enfoque2!$B$11:$B$50</c:f>
              <c:numCache>
                <c:formatCode>General</c:formatCode>
                <c:ptCount val="4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</c:numCache>
            </c:numRef>
          </c:cat>
          <c:val>
            <c:numRef>
              <c:f>enfoque2!$E$11:$E$50</c:f>
              <c:numCache>
                <c:formatCode>0.00</c:formatCode>
                <c:ptCount val="40"/>
                <c:pt idx="0" formatCode="General">
                  <c:v>0</c:v>
                </c:pt>
                <c:pt idx="1">
                  <c:v>100</c:v>
                </c:pt>
                <c:pt idx="2">
                  <c:v>50</c:v>
                </c:pt>
                <c:pt idx="3">
                  <c:v>33.333333333333329</c:v>
                </c:pt>
                <c:pt idx="4">
                  <c:v>25</c:v>
                </c:pt>
                <c:pt idx="5">
                  <c:v>19.999999999999996</c:v>
                </c:pt>
                <c:pt idx="6">
                  <c:v>16.666666666666675</c:v>
                </c:pt>
                <c:pt idx="7">
                  <c:v>14.285714285714279</c:v>
                </c:pt>
                <c:pt idx="8">
                  <c:v>12.5</c:v>
                </c:pt>
                <c:pt idx="9">
                  <c:v>11.111111111111116</c:v>
                </c:pt>
                <c:pt idx="10">
                  <c:v>10.000000000000009</c:v>
                </c:pt>
                <c:pt idx="11">
                  <c:v>9.0909090909090828</c:v>
                </c:pt>
                <c:pt idx="12">
                  <c:v>8.333333333333325</c:v>
                </c:pt>
                <c:pt idx="13">
                  <c:v>7.6923076923076872</c:v>
                </c:pt>
                <c:pt idx="14">
                  <c:v>7.1428571428571397</c:v>
                </c:pt>
                <c:pt idx="15">
                  <c:v>6.6666666666666652</c:v>
                </c:pt>
                <c:pt idx="16">
                  <c:v>6.25</c:v>
                </c:pt>
                <c:pt idx="17">
                  <c:v>5.8823529411764719</c:v>
                </c:pt>
                <c:pt idx="18">
                  <c:v>5.555555555555558</c:v>
                </c:pt>
                <c:pt idx="19">
                  <c:v>5.2631578947368363</c:v>
                </c:pt>
                <c:pt idx="20">
                  <c:v>5.0000000000000044</c:v>
                </c:pt>
                <c:pt idx="21">
                  <c:v>4.7619047619047672</c:v>
                </c:pt>
                <c:pt idx="22">
                  <c:v>4.5454545454545414</c:v>
                </c:pt>
                <c:pt idx="23">
                  <c:v>4.3478260869565188</c:v>
                </c:pt>
                <c:pt idx="24">
                  <c:v>4.1666666666666741</c:v>
                </c:pt>
                <c:pt idx="25">
                  <c:v>4.0000000000000036</c:v>
                </c:pt>
                <c:pt idx="26">
                  <c:v>3.8461538461538547</c:v>
                </c:pt>
                <c:pt idx="27">
                  <c:v>3.7037037037036979</c:v>
                </c:pt>
                <c:pt idx="28">
                  <c:v>3.5714285714285809</c:v>
                </c:pt>
                <c:pt idx="29">
                  <c:v>3.4482758620689724</c:v>
                </c:pt>
                <c:pt idx="30">
                  <c:v>3.3333333333333437</c:v>
                </c:pt>
                <c:pt idx="31">
                  <c:v>3.2258064516129004</c:v>
                </c:pt>
                <c:pt idx="32">
                  <c:v>3.125</c:v>
                </c:pt>
                <c:pt idx="33">
                  <c:v>3.0303030303030276</c:v>
                </c:pt>
                <c:pt idx="34">
                  <c:v>2.9411764705882248</c:v>
                </c:pt>
                <c:pt idx="35">
                  <c:v>2.857142857142847</c:v>
                </c:pt>
                <c:pt idx="36">
                  <c:v>2.7777777777777679</c:v>
                </c:pt>
                <c:pt idx="37">
                  <c:v>2.7027027027026973</c:v>
                </c:pt>
                <c:pt idx="38">
                  <c:v>2.6315789473684292</c:v>
                </c:pt>
                <c:pt idx="39">
                  <c:v>2.564102564102555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A9-4580-9799-EFAEC80A3D6D}"/>
            </c:ext>
          </c:extLst>
        </c:ser>
        <c:ser>
          <c:idx val="1"/>
          <c:order val="1"/>
          <c:tx>
            <c:strRef>
              <c:f>enfoque2!$F$10</c:f>
              <c:strCache>
                <c:ptCount val="1"/>
                <c:pt idx="0">
                  <c:v>γy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enfoque2!$F$11:$F$50</c:f>
              <c:numCache>
                <c:formatCode>0.00</c:formatCode>
                <c:ptCount val="40"/>
                <c:pt idx="0" formatCode="General">
                  <c:v>0</c:v>
                </c:pt>
                <c:pt idx="1">
                  <c:v>41.421356237309517</c:v>
                </c:pt>
                <c:pt idx="2">
                  <c:v>22.474487139158896</c:v>
                </c:pt>
                <c:pt idx="3">
                  <c:v>15.470053837925168</c:v>
                </c:pt>
                <c:pt idx="4">
                  <c:v>11.80339887498949</c:v>
                </c:pt>
                <c:pt idx="5">
                  <c:v>9.5445115010332149</c:v>
                </c:pt>
                <c:pt idx="6">
                  <c:v>8.0123449734643479</c:v>
                </c:pt>
                <c:pt idx="7">
                  <c:v>6.9044967649697586</c:v>
                </c:pt>
                <c:pt idx="8">
                  <c:v>6.0660171779821193</c:v>
                </c:pt>
                <c:pt idx="9">
                  <c:v>5.4092553389459841</c:v>
                </c:pt>
                <c:pt idx="10">
                  <c:v>4.8808848170151409</c:v>
                </c:pt>
                <c:pt idx="11">
                  <c:v>4.4465935734187001</c:v>
                </c:pt>
                <c:pt idx="12">
                  <c:v>4.0832999733066311</c:v>
                </c:pt>
                <c:pt idx="13">
                  <c:v>3.7749043325541631</c:v>
                </c:pt>
                <c:pt idx="14">
                  <c:v>3.5098339013531321</c:v>
                </c:pt>
                <c:pt idx="15">
                  <c:v>3.2795558988644391</c:v>
                </c:pt>
                <c:pt idx="16">
                  <c:v>3.0776406404415146</c:v>
                </c:pt>
                <c:pt idx="17">
                  <c:v>2.8991510855052915</c:v>
                </c:pt>
                <c:pt idx="18">
                  <c:v>2.7402333828163039</c:v>
                </c:pt>
                <c:pt idx="19">
                  <c:v>2.5978352085153977</c:v>
                </c:pt>
                <c:pt idx="20">
                  <c:v>2.4695076595959708</c:v>
                </c:pt>
                <c:pt idx="21">
                  <c:v>2.3532631438317964</c:v>
                </c:pt>
                <c:pt idx="22">
                  <c:v>2.2474716291090102</c:v>
                </c:pt>
                <c:pt idx="23">
                  <c:v>2.1507836910498401</c:v>
                </c:pt>
                <c:pt idx="24">
                  <c:v>2.0620726159657599</c:v>
                </c:pt>
                <c:pt idx="25">
                  <c:v>1.980390271855681</c:v>
                </c:pt>
                <c:pt idx="26">
                  <c:v>1.904933073013626</c:v>
                </c:pt>
                <c:pt idx="27">
                  <c:v>1.8350154434631172</c:v>
                </c:pt>
                <c:pt idx="28">
                  <c:v>1.7700489198214653</c:v>
                </c:pt>
                <c:pt idx="29">
                  <c:v>1.7095255431215595</c:v>
                </c:pt>
                <c:pt idx="30">
                  <c:v>1.653004546512693</c:v>
                </c:pt>
                <c:pt idx="31">
                  <c:v>1.6001016001524038</c:v>
                </c:pt>
                <c:pt idx="32">
                  <c:v>1.5504800579494882</c:v>
                </c:pt>
                <c:pt idx="33">
                  <c:v>1.5038437845104724</c:v>
                </c:pt>
                <c:pt idx="34">
                  <c:v>1.4599312391784691</c:v>
                </c:pt>
                <c:pt idx="35">
                  <c:v>1.4185105674219933</c:v>
                </c:pt>
                <c:pt idx="36">
                  <c:v>1.3793755049703149</c:v>
                </c:pt>
                <c:pt idx="37">
                  <c:v>1.3423419419063443</c:v>
                </c:pt>
                <c:pt idx="38">
                  <c:v>1.3072450258955648</c:v>
                </c:pt>
                <c:pt idx="39">
                  <c:v>1.2739367083666631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A9-4580-9799-EFAEC80A3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3839856"/>
        <c:axId val="323850256"/>
      </c:lineChart>
      <c:catAx>
        <c:axId val="32383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23850256"/>
        <c:crosses val="autoZero"/>
        <c:auto val="1"/>
        <c:lblAlgn val="ctr"/>
        <c:lblOffset val="100"/>
        <c:noMultiLvlLbl val="0"/>
      </c:catAx>
      <c:valAx>
        <c:axId val="323850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2383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/>
              <a:t>Estado Estacionario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enfoque2!$C$10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enfoque2!$B$11:$B$50</c:f>
              <c:numCache>
                <c:formatCode>General</c:formatCode>
                <c:ptCount val="4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</c:numCache>
            </c:numRef>
          </c:cat>
          <c:val>
            <c:numRef>
              <c:f>enfoque2!$C$11:$C$50</c:f>
              <c:numCache>
                <c:formatCode>0.00</c:formatCode>
                <c:ptCount val="40"/>
                <c:pt idx="0">
                  <c:v>1</c:v>
                </c:pt>
                <c:pt idx="1">
                  <c:v>1.4142135623730951</c:v>
                </c:pt>
                <c:pt idx="2">
                  <c:v>1.7320508075688772</c:v>
                </c:pt>
                <c:pt idx="3">
                  <c:v>2</c:v>
                </c:pt>
                <c:pt idx="4">
                  <c:v>2.2360679774997898</c:v>
                </c:pt>
                <c:pt idx="5">
                  <c:v>2.4494897427831779</c:v>
                </c:pt>
                <c:pt idx="6">
                  <c:v>2.6457513110645907</c:v>
                </c:pt>
                <c:pt idx="7">
                  <c:v>2.8284271247461903</c:v>
                </c:pt>
                <c:pt idx="8">
                  <c:v>3</c:v>
                </c:pt>
                <c:pt idx="9">
                  <c:v>3.1622776601683795</c:v>
                </c:pt>
                <c:pt idx="10">
                  <c:v>3.3166247903553998</c:v>
                </c:pt>
                <c:pt idx="11">
                  <c:v>3.4641016151377544</c:v>
                </c:pt>
                <c:pt idx="12">
                  <c:v>3.6055512754639891</c:v>
                </c:pt>
                <c:pt idx="13">
                  <c:v>3.7416573867739413</c:v>
                </c:pt>
                <c:pt idx="14">
                  <c:v>3.872983346207417</c:v>
                </c:pt>
                <c:pt idx="15">
                  <c:v>4</c:v>
                </c:pt>
                <c:pt idx="16">
                  <c:v>4.1231056256176606</c:v>
                </c:pt>
                <c:pt idx="17">
                  <c:v>4.2426406871192848</c:v>
                </c:pt>
                <c:pt idx="18">
                  <c:v>4.358898943540674</c:v>
                </c:pt>
                <c:pt idx="19">
                  <c:v>4.4721359549995796</c:v>
                </c:pt>
                <c:pt idx="20">
                  <c:v>4.5825756949558398</c:v>
                </c:pt>
                <c:pt idx="21">
                  <c:v>4.6904157598234297</c:v>
                </c:pt>
                <c:pt idx="22">
                  <c:v>4.7958315233127191</c:v>
                </c:pt>
                <c:pt idx="23">
                  <c:v>4.8989794855663558</c:v>
                </c:pt>
                <c:pt idx="24">
                  <c:v>5</c:v>
                </c:pt>
                <c:pt idx="25">
                  <c:v>5.0990195135927845</c:v>
                </c:pt>
                <c:pt idx="26">
                  <c:v>5.196152422706632</c:v>
                </c:pt>
                <c:pt idx="27">
                  <c:v>5.2915026221291814</c:v>
                </c:pt>
                <c:pt idx="28">
                  <c:v>5.3851648071345037</c:v>
                </c:pt>
                <c:pt idx="29">
                  <c:v>5.4772255750516612</c:v>
                </c:pt>
                <c:pt idx="30">
                  <c:v>5.5677643628300215</c:v>
                </c:pt>
                <c:pt idx="31">
                  <c:v>5.6568542494923806</c:v>
                </c:pt>
                <c:pt idx="32">
                  <c:v>5.7445626465380286</c:v>
                </c:pt>
                <c:pt idx="33">
                  <c:v>5.8309518948453007</c:v>
                </c:pt>
                <c:pt idx="34">
                  <c:v>5.9160797830996161</c:v>
                </c:pt>
                <c:pt idx="35">
                  <c:v>6</c:v>
                </c:pt>
                <c:pt idx="36">
                  <c:v>6.0827625302982193</c:v>
                </c:pt>
                <c:pt idx="37">
                  <c:v>6.164414002968976</c:v>
                </c:pt>
                <c:pt idx="38">
                  <c:v>6.2449979983983983</c:v>
                </c:pt>
                <c:pt idx="39">
                  <c:v>6.324555320336759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8-45B3-836B-80915A2FFE78}"/>
            </c:ext>
          </c:extLst>
        </c:ser>
        <c:ser>
          <c:idx val="4"/>
          <c:order val="1"/>
          <c:tx>
            <c:strRef>
              <c:f>enfoque2!$G$10</c:f>
              <c:strCache>
                <c:ptCount val="1"/>
                <c:pt idx="0">
                  <c:v>sy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enfoque2!$B$11:$B$50</c:f>
              <c:numCache>
                <c:formatCode>General</c:formatCode>
                <c:ptCount val="4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</c:numCache>
            </c:numRef>
          </c:cat>
          <c:val>
            <c:numRef>
              <c:f>enfoque2!$G$11:$G$50</c:f>
              <c:numCache>
                <c:formatCode>0.00</c:formatCode>
                <c:ptCount val="40"/>
                <c:pt idx="0">
                  <c:v>0.6</c:v>
                </c:pt>
                <c:pt idx="1">
                  <c:v>0.84852813742385702</c:v>
                </c:pt>
                <c:pt idx="2">
                  <c:v>1.0392304845413263</c:v>
                </c:pt>
                <c:pt idx="3">
                  <c:v>1.2</c:v>
                </c:pt>
                <c:pt idx="4">
                  <c:v>1.3416407864998738</c:v>
                </c:pt>
                <c:pt idx="5">
                  <c:v>1.4696938456699067</c:v>
                </c:pt>
                <c:pt idx="6">
                  <c:v>1.5874507866387544</c:v>
                </c:pt>
                <c:pt idx="7">
                  <c:v>1.697056274847714</c:v>
                </c:pt>
                <c:pt idx="8">
                  <c:v>1.7999999999999998</c:v>
                </c:pt>
                <c:pt idx="9">
                  <c:v>1.8973665961010275</c:v>
                </c:pt>
                <c:pt idx="10">
                  <c:v>1.9899748742132397</c:v>
                </c:pt>
                <c:pt idx="11">
                  <c:v>2.0784609690826525</c:v>
                </c:pt>
                <c:pt idx="12">
                  <c:v>2.1633307652783933</c:v>
                </c:pt>
                <c:pt idx="13">
                  <c:v>2.2449944320643649</c:v>
                </c:pt>
                <c:pt idx="14">
                  <c:v>2.3237900077244502</c:v>
                </c:pt>
                <c:pt idx="15">
                  <c:v>2.4</c:v>
                </c:pt>
                <c:pt idx="16">
                  <c:v>2.4738633753705961</c:v>
                </c:pt>
                <c:pt idx="17">
                  <c:v>2.545584412271571</c:v>
                </c:pt>
                <c:pt idx="18">
                  <c:v>2.6153393661244042</c:v>
                </c:pt>
                <c:pt idx="19">
                  <c:v>2.6832815729997477</c:v>
                </c:pt>
                <c:pt idx="20">
                  <c:v>2.7495454169735036</c:v>
                </c:pt>
                <c:pt idx="21">
                  <c:v>2.8142494558940578</c:v>
                </c:pt>
                <c:pt idx="22">
                  <c:v>2.8774989139876315</c:v>
                </c:pt>
                <c:pt idx="23">
                  <c:v>2.9393876913398134</c:v>
                </c:pt>
                <c:pt idx="24">
                  <c:v>3</c:v>
                </c:pt>
                <c:pt idx="25">
                  <c:v>3.0594117081556704</c:v>
                </c:pt>
                <c:pt idx="26">
                  <c:v>3.117691453623979</c:v>
                </c:pt>
                <c:pt idx="27">
                  <c:v>3.1749015732775088</c:v>
                </c:pt>
                <c:pt idx="28">
                  <c:v>3.2310988842807022</c:v>
                </c:pt>
                <c:pt idx="29">
                  <c:v>3.2863353450309964</c:v>
                </c:pt>
                <c:pt idx="30">
                  <c:v>3.3406586176980126</c:v>
                </c:pt>
                <c:pt idx="31">
                  <c:v>3.3941125496954281</c:v>
                </c:pt>
                <c:pt idx="32">
                  <c:v>3.4467375879228173</c:v>
                </c:pt>
                <c:pt idx="33">
                  <c:v>3.4985711369071804</c:v>
                </c:pt>
                <c:pt idx="34">
                  <c:v>3.5496478698597698</c:v>
                </c:pt>
                <c:pt idx="35">
                  <c:v>3.5999999999999996</c:v>
                </c:pt>
                <c:pt idx="36">
                  <c:v>3.6496575181789312</c:v>
                </c:pt>
                <c:pt idx="37">
                  <c:v>3.6986484017813854</c:v>
                </c:pt>
                <c:pt idx="38">
                  <c:v>3.746998799039039</c:v>
                </c:pt>
                <c:pt idx="39">
                  <c:v>3.7947331922020551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38-45B3-836B-80915A2FFE78}"/>
            </c:ext>
          </c:extLst>
        </c:ser>
        <c:ser>
          <c:idx val="5"/>
          <c:order val="2"/>
          <c:tx>
            <c:strRef>
              <c:f>enfoque2!$H$10</c:f>
              <c:strCache>
                <c:ptCount val="1"/>
                <c:pt idx="0">
                  <c:v>δk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enfoque2!$B$11:$B$50</c:f>
              <c:numCache>
                <c:formatCode>General</c:formatCode>
                <c:ptCount val="4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</c:numCache>
            </c:numRef>
          </c:cat>
          <c:val>
            <c:numRef>
              <c:f>enfoque2!$H$11:$H$50</c:f>
              <c:numCache>
                <c:formatCode>0.00</c:formatCode>
                <c:ptCount val="40"/>
                <c:pt idx="0">
                  <c:v>0.18</c:v>
                </c:pt>
                <c:pt idx="1">
                  <c:v>0.36</c:v>
                </c:pt>
                <c:pt idx="2">
                  <c:v>0.54</c:v>
                </c:pt>
                <c:pt idx="3">
                  <c:v>0.72</c:v>
                </c:pt>
                <c:pt idx="4">
                  <c:v>0.89999999999999991</c:v>
                </c:pt>
                <c:pt idx="5">
                  <c:v>1.08</c:v>
                </c:pt>
                <c:pt idx="6">
                  <c:v>1.26</c:v>
                </c:pt>
                <c:pt idx="7">
                  <c:v>1.44</c:v>
                </c:pt>
                <c:pt idx="8">
                  <c:v>1.6199999999999999</c:v>
                </c:pt>
                <c:pt idx="9">
                  <c:v>1.7999999999999998</c:v>
                </c:pt>
                <c:pt idx="10">
                  <c:v>1.98</c:v>
                </c:pt>
                <c:pt idx="11">
                  <c:v>2.16</c:v>
                </c:pt>
                <c:pt idx="12">
                  <c:v>2.34</c:v>
                </c:pt>
                <c:pt idx="13">
                  <c:v>2.52</c:v>
                </c:pt>
                <c:pt idx="14">
                  <c:v>2.6999999999999997</c:v>
                </c:pt>
                <c:pt idx="15">
                  <c:v>2.88</c:v>
                </c:pt>
                <c:pt idx="16">
                  <c:v>3.06</c:v>
                </c:pt>
                <c:pt idx="17">
                  <c:v>3.2399999999999998</c:v>
                </c:pt>
                <c:pt idx="18">
                  <c:v>3.42</c:v>
                </c:pt>
                <c:pt idx="19">
                  <c:v>3.5999999999999996</c:v>
                </c:pt>
                <c:pt idx="20">
                  <c:v>3.78</c:v>
                </c:pt>
                <c:pt idx="21">
                  <c:v>3.96</c:v>
                </c:pt>
                <c:pt idx="22">
                  <c:v>4.1399999999999997</c:v>
                </c:pt>
                <c:pt idx="23">
                  <c:v>4.32</c:v>
                </c:pt>
                <c:pt idx="24">
                  <c:v>4.5</c:v>
                </c:pt>
                <c:pt idx="25">
                  <c:v>4.68</c:v>
                </c:pt>
                <c:pt idx="26">
                  <c:v>4.8599999999999994</c:v>
                </c:pt>
                <c:pt idx="27">
                  <c:v>5.04</c:v>
                </c:pt>
                <c:pt idx="28">
                  <c:v>5.22</c:v>
                </c:pt>
                <c:pt idx="29">
                  <c:v>5.3999999999999995</c:v>
                </c:pt>
                <c:pt idx="30">
                  <c:v>5.58</c:v>
                </c:pt>
                <c:pt idx="31">
                  <c:v>5.76</c:v>
                </c:pt>
                <c:pt idx="32">
                  <c:v>5.9399999999999995</c:v>
                </c:pt>
                <c:pt idx="33">
                  <c:v>6.12</c:v>
                </c:pt>
                <c:pt idx="34">
                  <c:v>6.3</c:v>
                </c:pt>
                <c:pt idx="35">
                  <c:v>6.4799999999999995</c:v>
                </c:pt>
                <c:pt idx="36">
                  <c:v>6.66</c:v>
                </c:pt>
                <c:pt idx="37">
                  <c:v>6.84</c:v>
                </c:pt>
                <c:pt idx="38">
                  <c:v>7.02</c:v>
                </c:pt>
                <c:pt idx="39">
                  <c:v>7.1999999999999993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38-45B3-836B-80915A2FF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558352"/>
        <c:axId val="305565424"/>
      </c:lineChart>
      <c:catAx>
        <c:axId val="30555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05565424"/>
        <c:crosses val="autoZero"/>
        <c:auto val="1"/>
        <c:lblAlgn val="ctr"/>
        <c:lblOffset val="100"/>
        <c:noMultiLvlLbl val="0"/>
      </c:catAx>
      <c:valAx>
        <c:axId val="305565424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0555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b="1"/>
              <a:t>Δ</a:t>
            </a:r>
            <a:r>
              <a:rPr lang="es-PE" b="1"/>
              <a:t>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enfoque2!$J$11:$J$50</c:f>
              <c:numCache>
                <c:formatCode>General</c:formatCode>
                <c:ptCount val="40"/>
                <c:pt idx="0">
                  <c:v>0.42</c:v>
                </c:pt>
                <c:pt idx="1">
                  <c:v>0.48852813742385703</c:v>
                </c:pt>
                <c:pt idx="2">
                  <c:v>0.49923048454132624</c:v>
                </c:pt>
                <c:pt idx="3">
                  <c:v>0.48</c:v>
                </c:pt>
                <c:pt idx="4">
                  <c:v>0.44164078649987393</c:v>
                </c:pt>
                <c:pt idx="5">
                  <c:v>0.38969384566990661</c:v>
                </c:pt>
                <c:pt idx="6">
                  <c:v>0.32745078663875438</c:v>
                </c:pt>
                <c:pt idx="7">
                  <c:v>0.25705627484771409</c:v>
                </c:pt>
                <c:pt idx="8">
                  <c:v>0.17999999999999994</c:v>
                </c:pt>
                <c:pt idx="9">
                  <c:v>9.7366596101027714E-2</c:v>
                </c:pt>
                <c:pt idx="10">
                  <c:v>9.9748742132397261E-3</c:v>
                </c:pt>
                <c:pt idx="11">
                  <c:v>-8.1539030917347599E-2</c:v>
                </c:pt>
                <c:pt idx="12">
                  <c:v>-0.17666923472160656</c:v>
                </c:pt>
                <c:pt idx="13">
                  <c:v>-0.27500556793563513</c:v>
                </c:pt>
                <c:pt idx="14">
                  <c:v>-0.37620999227554952</c:v>
                </c:pt>
                <c:pt idx="15">
                  <c:v>-0.48</c:v>
                </c:pt>
                <c:pt idx="16">
                  <c:v>-0.58613662462940397</c:v>
                </c:pt>
                <c:pt idx="17">
                  <c:v>-0.69441558772842882</c:v>
                </c:pt>
                <c:pt idx="18">
                  <c:v>-0.80466063387559572</c:v>
                </c:pt>
                <c:pt idx="19">
                  <c:v>-0.91671842700025197</c:v>
                </c:pt>
                <c:pt idx="20">
                  <c:v>-1.0304545830264962</c:v>
                </c:pt>
                <c:pt idx="21">
                  <c:v>-1.1457505441059421</c:v>
                </c:pt>
                <c:pt idx="22">
                  <c:v>-1.2625010860123682</c:v>
                </c:pt>
                <c:pt idx="23">
                  <c:v>-1.3806123086601869</c:v>
                </c:pt>
                <c:pt idx="24">
                  <c:v>-1.5</c:v>
                </c:pt>
                <c:pt idx="25">
                  <c:v>-1.6205882918443293</c:v>
                </c:pt>
                <c:pt idx="26">
                  <c:v>-1.7423085463760204</c:v>
                </c:pt>
                <c:pt idx="27">
                  <c:v>-1.8650984267224913</c:v>
                </c:pt>
                <c:pt idx="28">
                  <c:v>-1.9889011157192975</c:v>
                </c:pt>
                <c:pt idx="29">
                  <c:v>-2.113664654969003</c:v>
                </c:pt>
                <c:pt idx="30">
                  <c:v>-2.2393413823019874</c:v>
                </c:pt>
                <c:pt idx="31">
                  <c:v>-2.3658874503045717</c:v>
                </c:pt>
                <c:pt idx="32">
                  <c:v>-2.4932624120771822</c:v>
                </c:pt>
                <c:pt idx="33">
                  <c:v>-2.6214288630928197</c:v>
                </c:pt>
                <c:pt idx="34">
                  <c:v>-2.7503521301402301</c:v>
                </c:pt>
                <c:pt idx="35">
                  <c:v>-2.88</c:v>
                </c:pt>
                <c:pt idx="36">
                  <c:v>-3.0103424818210689</c:v>
                </c:pt>
                <c:pt idx="37">
                  <c:v>-3.1413515982186144</c:v>
                </c:pt>
                <c:pt idx="38">
                  <c:v>-3.2730012009609606</c:v>
                </c:pt>
                <c:pt idx="39">
                  <c:v>-3.4052668077979442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C9-4C49-A779-EF4080188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246496"/>
        <c:axId val="325240672"/>
      </c:lineChart>
      <c:catAx>
        <c:axId val="325246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25240672"/>
        <c:crosses val="autoZero"/>
        <c:auto val="1"/>
        <c:lblAlgn val="ctr"/>
        <c:lblOffset val="100"/>
        <c:noMultiLvlLbl val="0"/>
      </c:catAx>
      <c:valAx>
        <c:axId val="325240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2524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3</xdr:row>
      <xdr:rowOff>28575</xdr:rowOff>
    </xdr:from>
    <xdr:to>
      <xdr:col>15</xdr:col>
      <xdr:colOff>247650</xdr:colOff>
      <xdr:row>19</xdr:row>
      <xdr:rowOff>42862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14C215E-EB77-4DB4-B6D8-66B7ECE0C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200025</xdr:colOff>
      <xdr:row>19</xdr:row>
      <xdr:rowOff>176212</xdr:rowOff>
    </xdr:from>
    <xdr:to>
      <xdr:col>15</xdr:col>
      <xdr:colOff>200025</xdr:colOff>
      <xdr:row>34</xdr:row>
      <xdr:rowOff>61912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717E39F-8D9A-4D35-875B-3F99184C8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219075</xdr:colOff>
      <xdr:row>35</xdr:row>
      <xdr:rowOff>23812</xdr:rowOff>
    </xdr:from>
    <xdr:to>
      <xdr:col>15</xdr:col>
      <xdr:colOff>219075</xdr:colOff>
      <xdr:row>49</xdr:row>
      <xdr:rowOff>100012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199EC3F8-6F19-48DA-A1EF-0416B4528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209550</xdr:colOff>
      <xdr:row>50</xdr:row>
      <xdr:rowOff>128587</xdr:rowOff>
    </xdr:from>
    <xdr:to>
      <xdr:col>15</xdr:col>
      <xdr:colOff>209550</xdr:colOff>
      <xdr:row>65</xdr:row>
      <xdr:rowOff>14287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772B68CA-095E-43D5-A7D6-CC07B667F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219075</xdr:colOff>
      <xdr:row>2</xdr:row>
      <xdr:rowOff>180975</xdr:rowOff>
    </xdr:from>
    <xdr:to>
      <xdr:col>15</xdr:col>
      <xdr:colOff>219075</xdr:colOff>
      <xdr:row>18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682952-58B7-488B-9A92-FE402A68A0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200025</xdr:colOff>
      <xdr:row>19</xdr:row>
      <xdr:rowOff>176212</xdr:rowOff>
    </xdr:from>
    <xdr:to>
      <xdr:col>15</xdr:col>
      <xdr:colOff>200025</xdr:colOff>
      <xdr:row>35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99E49C9-2F9E-439A-87CC-BBABB2FE1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219075</xdr:colOff>
      <xdr:row>36</xdr:row>
      <xdr:rowOff>109536</xdr:rowOff>
    </xdr:from>
    <xdr:to>
      <xdr:col>15</xdr:col>
      <xdr:colOff>219075</xdr:colOff>
      <xdr:row>54</xdr:row>
      <xdr:rowOff>76199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47D4B64-A77A-4F1A-8CC1-13CA8B0E0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180975</xdr:colOff>
      <xdr:row>54</xdr:row>
      <xdr:rowOff>185737</xdr:rowOff>
    </xdr:from>
    <xdr:to>
      <xdr:col>15</xdr:col>
      <xdr:colOff>180975</xdr:colOff>
      <xdr:row>69</xdr:row>
      <xdr:rowOff>71437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7905C65-982E-40CC-9A3D-15AC16E99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85946-6779-4CAC-BE25-B133D30440AC}">
  <dimension ref="B1:O57"/>
  <sheetViews>
    <sheetView showGridLines="0" zoomScaleNormal="100" workbookViewId="0">
      <selection activeCell="E14" sqref="E14"/>
    </sheetView>
  </sheetViews>
  <sheetFormatPr baseColWidth="10" defaultRowHeight="15" x14ac:dyDescent="0.25"/>
  <cols>
    <col min="1" max="1" width="3.28515625" style="1" customWidth="1"/>
    <col min="2" max="7" width="11.42578125" style="1"/>
    <col min="8" max="8" width="11.42578125" style="1" customWidth="1"/>
    <col min="9" max="9" width="2.85546875" style="1" customWidth="1"/>
    <col min="10" max="16384" width="11.42578125" style="1"/>
  </cols>
  <sheetData>
    <row r="1" spans="2:15" ht="18" x14ac:dyDescent="0.25">
      <c r="B1" s="18" t="s">
        <v>4</v>
      </c>
      <c r="C1" s="19"/>
      <c r="D1" s="19"/>
      <c r="E1" s="19"/>
      <c r="F1" s="19"/>
      <c r="G1" s="19"/>
      <c r="H1" s="20"/>
    </row>
    <row r="2" spans="2:15" ht="15.75" x14ac:dyDescent="0.25">
      <c r="B2" s="5" t="s">
        <v>10</v>
      </c>
      <c r="C2" s="4"/>
      <c r="D2" s="4"/>
      <c r="E2" s="4"/>
      <c r="F2" s="4"/>
      <c r="K2" s="21" t="s">
        <v>18</v>
      </c>
      <c r="L2" s="2">
        <f>((C6*C7)/C8)^(1/(1-C5))</f>
        <v>143.99999999999994</v>
      </c>
      <c r="N2" s="21" t="s">
        <v>19</v>
      </c>
      <c r="O2" s="2">
        <f>((E6*E7)/E8)^(1/(1-E5))</f>
        <v>117.36111111111113</v>
      </c>
    </row>
    <row r="3" spans="2:15" ht="15.75" thickBot="1" x14ac:dyDescent="0.3"/>
    <row r="4" spans="2:15" s="6" customFormat="1" ht="12.75" x14ac:dyDescent="0.25">
      <c r="B4" s="16" t="s">
        <v>13</v>
      </c>
      <c r="C4" s="17"/>
      <c r="D4" s="16" t="s">
        <v>12</v>
      </c>
      <c r="E4" s="17"/>
      <c r="F4" s="16" t="s">
        <v>8</v>
      </c>
      <c r="G4" s="17"/>
    </row>
    <row r="5" spans="2:15" s="6" customFormat="1" ht="13.5" x14ac:dyDescent="0.25">
      <c r="B5" s="8" t="s">
        <v>5</v>
      </c>
      <c r="C5" s="9">
        <v>0.5</v>
      </c>
      <c r="D5" s="8" t="s">
        <v>5</v>
      </c>
      <c r="E5" s="9">
        <v>0.5</v>
      </c>
      <c r="F5" s="8" t="s">
        <v>9</v>
      </c>
      <c r="G5" s="15">
        <v>2</v>
      </c>
    </row>
    <row r="6" spans="2:15" s="6" customFormat="1" ht="13.5" x14ac:dyDescent="0.25">
      <c r="B6" s="8" t="s">
        <v>3</v>
      </c>
      <c r="C6" s="9">
        <v>0.6</v>
      </c>
      <c r="D6" s="8" t="s">
        <v>3</v>
      </c>
      <c r="E6" s="9">
        <v>0.65</v>
      </c>
      <c r="F6" s="8"/>
      <c r="G6" s="9"/>
    </row>
    <row r="7" spans="2:15" s="6" customFormat="1" ht="13.5" x14ac:dyDescent="0.25">
      <c r="B7" s="8" t="s">
        <v>6</v>
      </c>
      <c r="C7" s="9">
        <v>1</v>
      </c>
      <c r="D7" s="8" t="s">
        <v>6</v>
      </c>
      <c r="E7" s="9">
        <v>1</v>
      </c>
      <c r="F7" s="8"/>
      <c r="G7" s="9"/>
    </row>
    <row r="8" spans="2:15" s="6" customFormat="1" ht="14.25" thickBot="1" x14ac:dyDescent="0.3">
      <c r="B8" s="10" t="s">
        <v>7</v>
      </c>
      <c r="C8" s="11">
        <v>0.05</v>
      </c>
      <c r="D8" s="10" t="s">
        <v>7</v>
      </c>
      <c r="E8" s="11">
        <v>0.06</v>
      </c>
      <c r="F8" s="10"/>
      <c r="G8" s="11"/>
    </row>
    <row r="10" spans="2:15" ht="18" x14ac:dyDescent="0.25">
      <c r="B10" s="13" t="s">
        <v>1</v>
      </c>
      <c r="C10" s="13" t="s">
        <v>0</v>
      </c>
      <c r="D10" s="13" t="s">
        <v>2</v>
      </c>
      <c r="E10" s="14" t="s">
        <v>14</v>
      </c>
      <c r="F10" s="14" t="s">
        <v>15</v>
      </c>
      <c r="G10" s="13" t="s">
        <v>16</v>
      </c>
      <c r="H10" s="13" t="s">
        <v>17</v>
      </c>
      <c r="J10" s="13" t="s">
        <v>20</v>
      </c>
      <c r="K10" s="7" t="s">
        <v>21</v>
      </c>
    </row>
    <row r="11" spans="2:15" x14ac:dyDescent="0.25">
      <c r="B11" s="1">
        <v>2000</v>
      </c>
      <c r="C11" s="3">
        <f>$C$7*D11^$C$5</f>
        <v>1.4142135623730951</v>
      </c>
      <c r="D11" s="3">
        <f>G5</f>
        <v>2</v>
      </c>
      <c r="E11" s="1" t="s">
        <v>11</v>
      </c>
      <c r="F11" s="1" t="s">
        <v>11</v>
      </c>
      <c r="G11" s="3">
        <f>$C$6*C11</f>
        <v>0.84852813742385702</v>
      </c>
      <c r="H11" s="3">
        <f>$C$8*D11</f>
        <v>0.1</v>
      </c>
      <c r="J11" s="1">
        <f>(1-$C$6)*C11</f>
        <v>0.56568542494923812</v>
      </c>
      <c r="K11" s="1">
        <f>G11-$C$8*D11</f>
        <v>0.74852813742385704</v>
      </c>
    </row>
    <row r="12" spans="2:15" x14ac:dyDescent="0.25">
      <c r="B12" s="1">
        <v>2001</v>
      </c>
      <c r="C12" s="3">
        <f t="shared" ref="C12:C14" si="0">$C$7*D12^$C$5</f>
        <v>1.6578685525167118</v>
      </c>
      <c r="D12" s="3">
        <f>$C$6*$C$7*C11+(1-$C$8)*D11</f>
        <v>2.748528137423857</v>
      </c>
      <c r="E12" s="3">
        <f>(D12/D11-1)*100</f>
        <v>37.426406871192853</v>
      </c>
      <c r="F12" s="3">
        <f>(C12/C11-1)*100</f>
        <v>17.229009580049272</v>
      </c>
      <c r="G12" s="3">
        <f>$C$6*C12</f>
        <v>0.99472113151002706</v>
      </c>
      <c r="H12" s="3">
        <f t="shared" ref="H12:H50" si="1">$C$8*D12</f>
        <v>0.13742640687119287</v>
      </c>
      <c r="J12" s="1">
        <f t="shared" ref="J12:J50" si="2">(1-$C$6)*C12</f>
        <v>0.66314742100668478</v>
      </c>
      <c r="K12" s="1">
        <f t="shared" ref="K12:K14" si="3">G12-$C$8*D12</f>
        <v>0.85729472463883416</v>
      </c>
    </row>
    <row r="13" spans="2:15" x14ac:dyDescent="0.25">
      <c r="B13" s="1">
        <v>2002</v>
      </c>
      <c r="C13" s="3">
        <f t="shared" si="0"/>
        <v>1.8989004350051351</v>
      </c>
      <c r="D13" s="3">
        <f>$C$6*$C$7*C12+(1-$C$8)*D12</f>
        <v>3.6058228620626913</v>
      </c>
      <c r="E13" s="3">
        <f>(D13/D12-1)*100</f>
        <v>31.191047781754211</v>
      </c>
      <c r="F13" s="3">
        <f>(C13/C12-1)*100</f>
        <v>14.53866062677449</v>
      </c>
      <c r="G13" s="3">
        <f>$C$6*C13</f>
        <v>1.1393402610030809</v>
      </c>
      <c r="H13" s="3">
        <f t="shared" si="1"/>
        <v>0.18029114310313457</v>
      </c>
      <c r="J13" s="1">
        <f t="shared" si="2"/>
        <v>0.75956017400205411</v>
      </c>
      <c r="K13" s="1">
        <f t="shared" si="3"/>
        <v>0.9590491178999464</v>
      </c>
    </row>
    <row r="14" spans="2:15" x14ac:dyDescent="0.25">
      <c r="B14" s="1">
        <v>2003</v>
      </c>
      <c r="C14" s="3">
        <f t="shared" si="0"/>
        <v>2.1365561026948572</v>
      </c>
      <c r="D14" s="3">
        <f>$C$6*$C$7*C13+(1-$C$8)*D13</f>
        <v>4.5648719799626374</v>
      </c>
      <c r="E14" s="3">
        <f>(D14/D13-1)*100</f>
        <v>26.597233269282871</v>
      </c>
      <c r="F14" s="3">
        <f>(C14/C13-1)*100</f>
        <v>12.515435949598874</v>
      </c>
      <c r="G14" s="3">
        <f t="shared" ref="G12:G36" si="4">$C$6*C14</f>
        <v>1.2819336616169144</v>
      </c>
      <c r="H14" s="3">
        <f t="shared" si="1"/>
        <v>0.22824359899813187</v>
      </c>
      <c r="J14" s="1">
        <f t="shared" si="2"/>
        <v>0.85462244107794294</v>
      </c>
      <c r="K14" s="1">
        <f t="shared" si="3"/>
        <v>1.0536900626187824</v>
      </c>
    </row>
    <row r="15" spans="2:15" x14ac:dyDescent="0.25">
      <c r="B15" s="12">
        <v>2004</v>
      </c>
      <c r="C15" s="3">
        <f>$E$7*D15^$E$5</f>
        <v>2.3832207467871154</v>
      </c>
      <c r="D15" s="3">
        <f>$E$6*$E$7*C14+(1-$E$8)*D14</f>
        <v>5.679741127916536</v>
      </c>
      <c r="E15" s="3">
        <f>(D15/D14-1)*100</f>
        <v>24.422791106685615</v>
      </c>
      <c r="F15" s="3">
        <f>(C15/C14-1)*100</f>
        <v>11.544964524036505</v>
      </c>
      <c r="G15" s="3">
        <f>$E$6*C15</f>
        <v>1.5490934854116249</v>
      </c>
      <c r="H15" s="3">
        <f>$E$8*D15</f>
        <v>0.34078446767499215</v>
      </c>
      <c r="J15" s="1">
        <f t="shared" si="2"/>
        <v>0.95328829871484622</v>
      </c>
      <c r="K15" s="1">
        <f>G15-$E$8*D15</f>
        <v>1.2083090177366329</v>
      </c>
    </row>
    <row r="16" spans="2:15" x14ac:dyDescent="0.25">
      <c r="B16" s="1">
        <v>2005</v>
      </c>
      <c r="C16" s="3">
        <f t="shared" ref="C16:C79" si="5">$E$7*D16^$E$5</f>
        <v>2.6245095057273402</v>
      </c>
      <c r="D16" s="3">
        <f t="shared" ref="D16:D36" si="6">$E$6*$E$7*C15+(1-$E$8)*D15</f>
        <v>6.8880501456531684</v>
      </c>
      <c r="E16" s="3">
        <f>(D16/D15-1)*100</f>
        <v>21.274015672961987</v>
      </c>
      <c r="F16" s="3">
        <f>(C16/C15-1)*100</f>
        <v>10.124482143146519</v>
      </c>
      <c r="G16" s="3">
        <f t="shared" ref="G16:G50" si="7">$E$6*C16</f>
        <v>1.7059311787227711</v>
      </c>
      <c r="H16" s="3">
        <f t="shared" ref="H16:H50" si="8">$E$8*D16</f>
        <v>0.41328300873919011</v>
      </c>
      <c r="J16" s="1">
        <f t="shared" si="2"/>
        <v>1.0498038022909362</v>
      </c>
      <c r="K16" s="1">
        <f t="shared" ref="K12:K50" si="9">G16-$E$8*D16</f>
        <v>1.292648169983581</v>
      </c>
    </row>
    <row r="17" spans="2:11" x14ac:dyDescent="0.25">
      <c r="B17" s="1">
        <v>2006</v>
      </c>
      <c r="C17" s="3">
        <f t="shared" si="5"/>
        <v>2.8601920067779973</v>
      </c>
      <c r="D17" s="3">
        <f t="shared" si="6"/>
        <v>8.1806983156367483</v>
      </c>
      <c r="E17" s="3">
        <f>(D17/D16-1)*100</f>
        <v>18.766532511371594</v>
      </c>
      <c r="F17" s="3">
        <f>(C17/C16-1)*100</f>
        <v>8.9800589609730253</v>
      </c>
      <c r="G17" s="3">
        <f t="shared" si="7"/>
        <v>1.8591248044056983</v>
      </c>
      <c r="H17" s="3">
        <f t="shared" si="8"/>
        <v>0.4908418989382049</v>
      </c>
      <c r="J17" s="1">
        <f t="shared" si="2"/>
        <v>1.1440768027111989</v>
      </c>
      <c r="K17" s="1">
        <f t="shared" si="9"/>
        <v>1.3682829054674934</v>
      </c>
    </row>
    <row r="18" spans="2:11" x14ac:dyDescent="0.25">
      <c r="B18" s="1">
        <v>2007</v>
      </c>
      <c r="C18" s="3">
        <f t="shared" si="5"/>
        <v>3.0901425891217773</v>
      </c>
      <c r="D18" s="3">
        <f t="shared" si="6"/>
        <v>9.548981221104242</v>
      </c>
      <c r="E18" s="3">
        <f>(D18/D17-1)*100</f>
        <v>16.725747028858539</v>
      </c>
      <c r="F18" s="3">
        <f>(C18/C17-1)*100</f>
        <v>8.0396904053591456</v>
      </c>
      <c r="G18" s="3">
        <f t="shared" si="7"/>
        <v>2.0085926829291552</v>
      </c>
      <c r="H18" s="3">
        <f t="shared" si="8"/>
        <v>0.57293887326625448</v>
      </c>
      <c r="J18" s="1">
        <f t="shared" si="2"/>
        <v>1.2360570356487111</v>
      </c>
      <c r="K18" s="1">
        <f t="shared" si="9"/>
        <v>1.4356538096629006</v>
      </c>
    </row>
    <row r="19" spans="2:11" x14ac:dyDescent="0.25">
      <c r="B19" s="1">
        <v>2008</v>
      </c>
      <c r="C19" s="3">
        <f t="shared" si="5"/>
        <v>3.3143076246430629</v>
      </c>
      <c r="D19" s="3">
        <f t="shared" si="6"/>
        <v>10.984635030767143</v>
      </c>
      <c r="E19" s="3">
        <f>(D19/D18-1)*100</f>
        <v>15.034628055294075</v>
      </c>
      <c r="F19" s="3">
        <f>(C19/C18-1)*100</f>
        <v>7.2541971464492816</v>
      </c>
      <c r="G19" s="3">
        <f t="shared" si="7"/>
        <v>2.154299956017991</v>
      </c>
      <c r="H19" s="3">
        <f t="shared" si="8"/>
        <v>0.65907810184602855</v>
      </c>
      <c r="J19" s="1">
        <f t="shared" si="2"/>
        <v>1.3257230498572252</v>
      </c>
      <c r="K19" s="1">
        <f t="shared" si="9"/>
        <v>1.4952218541719624</v>
      </c>
    </row>
    <row r="20" spans="2:11" x14ac:dyDescent="0.25">
      <c r="B20" s="1">
        <v>2009</v>
      </c>
      <c r="C20" s="3">
        <f t="shared" si="5"/>
        <v>3.5326840907359807</v>
      </c>
      <c r="D20" s="3">
        <f t="shared" si="6"/>
        <v>12.479856884939103</v>
      </c>
      <c r="E20" s="3">
        <f>(D20/D19-1)*100</f>
        <v>13.61193931326763</v>
      </c>
      <c r="F20" s="3">
        <f>(C20/C19-1)*100</f>
        <v>6.5889015391694672</v>
      </c>
      <c r="G20" s="3">
        <f t="shared" si="7"/>
        <v>2.2962446589783876</v>
      </c>
      <c r="H20" s="3">
        <f t="shared" si="8"/>
        <v>0.74879141309634611</v>
      </c>
      <c r="J20" s="1">
        <f t="shared" si="2"/>
        <v>1.4130736362943923</v>
      </c>
      <c r="K20" s="1">
        <f t="shared" si="9"/>
        <v>1.5474532458820414</v>
      </c>
    </row>
    <row r="21" spans="2:11" x14ac:dyDescent="0.25">
      <c r="B21" s="1">
        <v>2010</v>
      </c>
      <c r="C21" s="3">
        <f t="shared" si="5"/>
        <v>3.745305078471064</v>
      </c>
      <c r="D21" s="3">
        <f t="shared" si="6"/>
        <v>14.027310130821144</v>
      </c>
      <c r="E21" s="3">
        <f>(D21/D20-1)*100</f>
        <v>12.399607304387693</v>
      </c>
      <c r="F21" s="3">
        <f>(C21/C20-1)*100</f>
        <v>6.0186810446100969</v>
      </c>
      <c r="G21" s="3">
        <f t="shared" si="7"/>
        <v>2.4344483010061917</v>
      </c>
      <c r="H21" s="3">
        <f t="shared" si="8"/>
        <v>0.84163860784926858</v>
      </c>
      <c r="J21" s="1">
        <f t="shared" si="2"/>
        <v>1.4981220313884256</v>
      </c>
      <c r="K21" s="1">
        <f t="shared" si="9"/>
        <v>1.5928096931569231</v>
      </c>
    </row>
    <row r="22" spans="2:11" x14ac:dyDescent="0.25">
      <c r="B22" s="1">
        <v>2011</v>
      </c>
      <c r="C22" s="3">
        <f t="shared" si="5"/>
        <v>3.9522297281380379</v>
      </c>
      <c r="D22" s="3">
        <f t="shared" si="6"/>
        <v>15.620119823978067</v>
      </c>
      <c r="E22" s="3">
        <f>(D22/D21-1)*100</f>
        <v>11.355061507174934</v>
      </c>
      <c r="F22" s="3">
        <f>(C22/C21-1)*100</f>
        <v>5.524907726647621</v>
      </c>
      <c r="G22" s="3">
        <f t="shared" si="7"/>
        <v>2.5689493232897247</v>
      </c>
      <c r="H22" s="3">
        <f t="shared" si="8"/>
        <v>0.93720718943868397</v>
      </c>
      <c r="J22" s="1">
        <f t="shared" si="2"/>
        <v>1.5808918912552152</v>
      </c>
      <c r="K22" s="1">
        <f t="shared" si="9"/>
        <v>1.6317421338510407</v>
      </c>
    </row>
    <row r="23" spans="2:11" x14ac:dyDescent="0.25">
      <c r="B23" s="1">
        <v>2012</v>
      </c>
      <c r="C23" s="3">
        <f t="shared" si="5"/>
        <v>4.1535360787922748</v>
      </c>
      <c r="D23" s="3">
        <f t="shared" si="6"/>
        <v>17.251861957829107</v>
      </c>
      <c r="E23" s="3">
        <f>(D23/D22-1)*100</f>
        <v>10.446412397849802</v>
      </c>
      <c r="F23" s="3">
        <f>(C23/C22-1)*100</f>
        <v>5.0934880941011507</v>
      </c>
      <c r="G23" s="3">
        <f t="shared" si="7"/>
        <v>2.6997984512149786</v>
      </c>
      <c r="H23" s="3">
        <f t="shared" si="8"/>
        <v>1.0351117174697464</v>
      </c>
      <c r="J23" s="1">
        <f t="shared" si="2"/>
        <v>1.6614144315169099</v>
      </c>
      <c r="K23" s="1">
        <f t="shared" si="9"/>
        <v>1.6646867337452322</v>
      </c>
    </row>
    <row r="24" spans="2:11" x14ac:dyDescent="0.25">
      <c r="B24" s="1">
        <v>2013</v>
      </c>
      <c r="C24" s="3">
        <f t="shared" si="5"/>
        <v>4.3493158877660676</v>
      </c>
      <c r="D24" s="3">
        <f t="shared" si="6"/>
        <v>18.916548691574338</v>
      </c>
      <c r="E24" s="3">
        <f>(D24/D23-1)*100</f>
        <v>9.6493163335901642</v>
      </c>
      <c r="F24" s="3">
        <f>(C24/C23-1)*100</f>
        <v>4.713569480554991</v>
      </c>
      <c r="G24" s="3">
        <f t="shared" si="7"/>
        <v>2.8270553270479439</v>
      </c>
      <c r="H24" s="3">
        <f t="shared" si="8"/>
        <v>1.1349929214944603</v>
      </c>
      <c r="J24" s="1">
        <f t="shared" si="2"/>
        <v>1.739726355106427</v>
      </c>
      <c r="K24" s="1">
        <f t="shared" si="9"/>
        <v>1.6920624055534836</v>
      </c>
    </row>
    <row r="25" spans="2:11" x14ac:dyDescent="0.25">
      <c r="B25" s="1">
        <v>2014</v>
      </c>
      <c r="C25" s="3">
        <f t="shared" si="5"/>
        <v>4.5396708137405533</v>
      </c>
      <c r="D25" s="3">
        <f t="shared" si="6"/>
        <v>20.60861109712782</v>
      </c>
      <c r="E25" s="3">
        <f>(D25/D24-1)*100</f>
        <v>8.9448790746228912</v>
      </c>
      <c r="F25" s="3">
        <f>(C25/C24-1)*100</f>
        <v>4.3766636153038219</v>
      </c>
      <c r="G25" s="3">
        <f t="shared" si="7"/>
        <v>2.9507860289313599</v>
      </c>
      <c r="H25" s="3">
        <f t="shared" si="8"/>
        <v>1.2365166658276692</v>
      </c>
      <c r="J25" s="1">
        <f t="shared" si="2"/>
        <v>1.8158683254962213</v>
      </c>
      <c r="K25" s="1">
        <f t="shared" si="9"/>
        <v>1.7142693631036907</v>
      </c>
    </row>
    <row r="26" spans="2:11" x14ac:dyDescent="0.25">
      <c r="B26" s="1">
        <v>2015</v>
      </c>
      <c r="C26" s="3">
        <f t="shared" si="5"/>
        <v>4.7247095635849945</v>
      </c>
      <c r="D26" s="3">
        <f t="shared" si="6"/>
        <v>22.322880460231509</v>
      </c>
      <c r="E26" s="3">
        <f>(D26/D25-1)*100</f>
        <v>8.3182188019580003</v>
      </c>
      <c r="F26" s="3">
        <f>(C26/C25-1)*100</f>
        <v>4.0760389340207537</v>
      </c>
      <c r="G26" s="3">
        <f t="shared" si="7"/>
        <v>3.0710612163302464</v>
      </c>
      <c r="H26" s="3">
        <f t="shared" si="8"/>
        <v>1.3393728276138905</v>
      </c>
      <c r="J26" s="1">
        <f t="shared" si="2"/>
        <v>1.8898838254339978</v>
      </c>
      <c r="K26" s="1">
        <f t="shared" si="9"/>
        <v>1.7316883887163559</v>
      </c>
    </row>
    <row r="27" spans="2:11" x14ac:dyDescent="0.25">
      <c r="B27" s="1">
        <v>2016</v>
      </c>
      <c r="C27" s="3">
        <f t="shared" si="5"/>
        <v>4.9045457331895541</v>
      </c>
      <c r="D27" s="3">
        <f t="shared" si="6"/>
        <v>24.054568848947863</v>
      </c>
      <c r="E27" s="3">
        <f>(D27/D26-1)*100</f>
        <v>7.7574594004630182</v>
      </c>
      <c r="F27" s="3">
        <f>(C27/C26-1)*100</f>
        <v>3.8062904647223395</v>
      </c>
      <c r="G27" s="3">
        <f t="shared" si="7"/>
        <v>3.1879547265732104</v>
      </c>
      <c r="H27" s="3">
        <f t="shared" si="8"/>
        <v>1.4432741309368717</v>
      </c>
      <c r="J27" s="1">
        <f t="shared" si="2"/>
        <v>1.9618182932758217</v>
      </c>
      <c r="K27" s="1">
        <f t="shared" si="9"/>
        <v>1.7446805956363387</v>
      </c>
    </row>
    <row r="28" spans="2:11" x14ac:dyDescent="0.25">
      <c r="B28" s="1">
        <v>2017</v>
      </c>
      <c r="C28" s="3">
        <f t="shared" si="5"/>
        <v>5.0792961564161816</v>
      </c>
      <c r="D28" s="3">
        <f t="shared" si="6"/>
        <v>25.799249444584198</v>
      </c>
      <c r="E28" s="3">
        <f>(D28/D27-1)*100</f>
        <v>7.2530112952436054</v>
      </c>
      <c r="F28" s="3">
        <f>(C28/C27-1)*100</f>
        <v>3.5630297428786095</v>
      </c>
      <c r="G28" s="3">
        <f t="shared" si="7"/>
        <v>3.301542501670518</v>
      </c>
      <c r="H28" s="3">
        <f t="shared" si="8"/>
        <v>1.5479549666750518</v>
      </c>
      <c r="J28" s="1">
        <f t="shared" si="2"/>
        <v>2.0317184625664728</v>
      </c>
      <c r="K28" s="1">
        <f t="shared" si="9"/>
        <v>1.7535875349954662</v>
      </c>
    </row>
    <row r="29" spans="2:11" x14ac:dyDescent="0.25">
      <c r="B29" s="1">
        <v>2018</v>
      </c>
      <c r="C29" s="3">
        <f t="shared" si="5"/>
        <v>5.2490796316668371</v>
      </c>
      <c r="D29" s="3">
        <f t="shared" si="6"/>
        <v>27.552836979579663</v>
      </c>
      <c r="E29" s="3">
        <f>(D29/D28-1)*100</f>
        <v>6.7970486457836765</v>
      </c>
      <c r="F29" s="3">
        <f>(C29/C28-1)*100</f>
        <v>3.3426575262043734</v>
      </c>
      <c r="G29" s="3">
        <f t="shared" si="7"/>
        <v>3.4119017605834441</v>
      </c>
      <c r="H29" s="3">
        <f t="shared" si="8"/>
        <v>1.6531702187747797</v>
      </c>
      <c r="J29" s="1">
        <f t="shared" si="2"/>
        <v>2.099631852666735</v>
      </c>
      <c r="K29" s="1">
        <f t="shared" si="9"/>
        <v>1.7587315418086644</v>
      </c>
    </row>
    <row r="30" spans="2:11" x14ac:dyDescent="0.25">
      <c r="B30" s="1">
        <v>2019</v>
      </c>
      <c r="C30" s="3">
        <f t="shared" si="5"/>
        <v>5.4140159328716724</v>
      </c>
      <c r="D30" s="3">
        <f t="shared" si="6"/>
        <v>29.311568521388324</v>
      </c>
      <c r="E30" s="3">
        <f>(D30/D29-1)*100</f>
        <v>6.3831232446666553</v>
      </c>
      <c r="F30" s="3">
        <f>(C30/C29-1)*100</f>
        <v>3.1421946851368343</v>
      </c>
      <c r="G30" s="3">
        <f t="shared" si="7"/>
        <v>3.5191103563665873</v>
      </c>
      <c r="H30" s="3">
        <f t="shared" si="8"/>
        <v>1.7586941112832994</v>
      </c>
      <c r="J30" s="1">
        <f t="shared" si="2"/>
        <v>2.1656063731486692</v>
      </c>
      <c r="K30" s="1">
        <f t="shared" si="9"/>
        <v>1.7604162450832879</v>
      </c>
    </row>
    <row r="31" spans="2:11" x14ac:dyDescent="0.25">
      <c r="B31" s="1">
        <v>2020</v>
      </c>
      <c r="C31" s="3">
        <f t="shared" si="5"/>
        <v>5.5742250373008453</v>
      </c>
      <c r="D31" s="3">
        <f t="shared" si="6"/>
        <v>31.071984766471608</v>
      </c>
      <c r="E31" s="3">
        <f>(D31/D30-1)*100</f>
        <v>6.0058752700276941</v>
      </c>
      <c r="F31" s="3">
        <f>(C31/C30-1)*100</f>
        <v>2.9591546536915203</v>
      </c>
      <c r="G31" s="3">
        <f t="shared" si="7"/>
        <v>3.6232462742455493</v>
      </c>
      <c r="H31" s="3">
        <f t="shared" si="8"/>
        <v>1.8643190859882965</v>
      </c>
      <c r="J31" s="1">
        <f t="shared" si="2"/>
        <v>2.229690014920338</v>
      </c>
      <c r="K31" s="1">
        <f t="shared" si="9"/>
        <v>1.7589271882572528</v>
      </c>
    </row>
    <row r="32" spans="2:11" x14ac:dyDescent="0.25">
      <c r="B32" s="1">
        <v>2021</v>
      </c>
      <c r="C32" s="3">
        <f t="shared" si="5"/>
        <v>5.7298265204741465</v>
      </c>
      <c r="D32" s="3">
        <f t="shared" si="6"/>
        <v>32.830911954728862</v>
      </c>
      <c r="E32" s="3">
        <f>(D32/D31-1)*100</f>
        <v>5.6608137570768768</v>
      </c>
      <c r="F32" s="3">
        <f>(C32/C31-1)*100</f>
        <v>2.791446024013533</v>
      </c>
      <c r="G32" s="3">
        <f t="shared" si="7"/>
        <v>3.7243872383081955</v>
      </c>
      <c r="H32" s="3">
        <f t="shared" si="8"/>
        <v>1.9698547172837317</v>
      </c>
      <c r="J32" s="1">
        <f t="shared" si="2"/>
        <v>2.2919306081896589</v>
      </c>
      <c r="K32" s="1">
        <f t="shared" si="9"/>
        <v>1.7545325210244638</v>
      </c>
    </row>
    <row r="33" spans="2:11" x14ac:dyDescent="0.25">
      <c r="B33" s="1">
        <v>2022</v>
      </c>
      <c r="C33" s="3">
        <f t="shared" si="5"/>
        <v>5.8809390811122437</v>
      </c>
      <c r="D33" s="3">
        <f t="shared" si="6"/>
        <v>34.58544447575332</v>
      </c>
      <c r="E33" s="3">
        <f>(D33/D32-1)*100</f>
        <v>5.3441479890775412</v>
      </c>
      <c r="F33" s="3">
        <f>(C33/C32-1)*100</f>
        <v>2.637297309056974</v>
      </c>
      <c r="G33" s="3">
        <f t="shared" si="7"/>
        <v>3.8226104027229586</v>
      </c>
      <c r="H33" s="3">
        <f t="shared" si="8"/>
        <v>2.0751266685451992</v>
      </c>
      <c r="J33" s="1">
        <f t="shared" si="2"/>
        <v>2.3523756324448977</v>
      </c>
      <c r="K33" s="1">
        <f t="shared" si="9"/>
        <v>1.7474837341777594</v>
      </c>
    </row>
    <row r="34" spans="2:11" x14ac:dyDescent="0.25">
      <c r="B34" s="1">
        <v>2023</v>
      </c>
      <c r="C34" s="3">
        <f t="shared" si="5"/>
        <v>6.0276801681850269</v>
      </c>
      <c r="D34" s="3">
        <f t="shared" si="6"/>
        <v>36.332928209931076</v>
      </c>
      <c r="E34" s="3">
        <f>(D34/D33-1)*100</f>
        <v>5.0526565746548568</v>
      </c>
      <c r="F34" s="3">
        <f>(C34/C33-1)*100</f>
        <v>2.4951982166261599</v>
      </c>
      <c r="G34" s="3">
        <f t="shared" si="7"/>
        <v>3.9179921093202679</v>
      </c>
      <c r="H34" s="3">
        <f t="shared" si="8"/>
        <v>2.1799756925958644</v>
      </c>
      <c r="J34" s="1">
        <f t="shared" si="2"/>
        <v>2.4110720672740111</v>
      </c>
      <c r="K34" s="1">
        <f t="shared" si="9"/>
        <v>1.7380164167244034</v>
      </c>
    </row>
    <row r="35" spans="2:11" x14ac:dyDescent="0.25">
      <c r="B35" s="1">
        <v>2024</v>
      </c>
      <c r="C35" s="3">
        <f t="shared" si="5"/>
        <v>6.1701656887522454</v>
      </c>
      <c r="D35" s="3">
        <f t="shared" si="6"/>
        <v>38.070944626655475</v>
      </c>
      <c r="E35" s="3">
        <f>(D35/D34-1)*100</f>
        <v>4.7835847600341097</v>
      </c>
      <c r="F35" s="3">
        <f>(C35/C34-1)*100</f>
        <v>2.3638533663295158</v>
      </c>
      <c r="G35" s="3">
        <f t="shared" si="7"/>
        <v>4.0106076976889593</v>
      </c>
      <c r="H35" s="3">
        <f t="shared" si="8"/>
        <v>2.2842566775993283</v>
      </c>
      <c r="J35" s="1">
        <f t="shared" si="2"/>
        <v>2.4680662755008984</v>
      </c>
      <c r="K35" s="1">
        <f t="shared" si="9"/>
        <v>1.726351020089631</v>
      </c>
    </row>
    <row r="36" spans="2:11" x14ac:dyDescent="0.25">
      <c r="B36" s="1">
        <v>2025</v>
      </c>
      <c r="C36" s="3">
        <f t="shared" si="5"/>
        <v>6.3085097801893832</v>
      </c>
      <c r="D36" s="3">
        <f t="shared" si="6"/>
        <v>39.797295646745106</v>
      </c>
      <c r="E36" s="3">
        <f>(D36/D35-1)*100</f>
        <v>4.5345631347453397</v>
      </c>
      <c r="F36" s="3">
        <f>(C36/C35-1)*100</f>
        <v>2.2421454854823164</v>
      </c>
      <c r="G36" s="3">
        <f t="shared" si="7"/>
        <v>4.1005313571230992</v>
      </c>
      <c r="H36" s="3">
        <f t="shared" si="8"/>
        <v>2.3878377388047061</v>
      </c>
      <c r="J36" s="1">
        <f t="shared" si="2"/>
        <v>2.5234039120757537</v>
      </c>
      <c r="K36" s="1">
        <f t="shared" si="9"/>
        <v>1.7126936183183932</v>
      </c>
    </row>
    <row r="37" spans="2:11" x14ac:dyDescent="0.25">
      <c r="B37" s="1">
        <v>2026</v>
      </c>
      <c r="C37" s="3">
        <f t="shared" si="5"/>
        <v>6.4428246340454969</v>
      </c>
      <c r="D37" s="3">
        <f t="shared" ref="D37:D50" si="10">$E$6*$E$7*C36+(1-$E$8)*D36</f>
        <v>41.509989265063496</v>
      </c>
      <c r="E37" s="3">
        <f t="shared" ref="E37:E100" si="11">(D37/D36-1)*100</f>
        <v>4.3035427168741869</v>
      </c>
      <c r="F37" s="3">
        <f t="shared" ref="F37:F50" si="12">(C37/C36-1)*100</f>
        <v>2.129105898795669</v>
      </c>
      <c r="G37" s="3">
        <f t="shared" si="7"/>
        <v>4.1878360121295728</v>
      </c>
      <c r="H37" s="3">
        <f t="shared" si="8"/>
        <v>2.4905993559038095</v>
      </c>
      <c r="J37" s="1">
        <f t="shared" si="2"/>
        <v>2.577129853618199</v>
      </c>
      <c r="K37" s="1">
        <f t="shared" si="9"/>
        <v>1.6972366562257633</v>
      </c>
    </row>
    <row r="38" spans="2:11" x14ac:dyDescent="0.25">
      <c r="B38" s="1">
        <v>2027</v>
      </c>
      <c r="C38" s="3">
        <f t="shared" si="5"/>
        <v>6.573220361534311</v>
      </c>
      <c r="D38" s="3">
        <f t="shared" si="10"/>
        <v>43.207225921289258</v>
      </c>
      <c r="E38" s="3">
        <f t="shared" si="11"/>
        <v>4.0887427009147048</v>
      </c>
      <c r="F38" s="3">
        <f t="shared" si="12"/>
        <v>2.0238906829742165</v>
      </c>
      <c r="G38" s="3">
        <f t="shared" si="7"/>
        <v>4.2725932349973021</v>
      </c>
      <c r="H38" s="3">
        <f t="shared" si="8"/>
        <v>2.5924335552773554</v>
      </c>
      <c r="J38" s="1">
        <f t="shared" si="2"/>
        <v>2.6292881446137244</v>
      </c>
      <c r="K38" s="1">
        <f t="shared" si="9"/>
        <v>1.6801596797199467</v>
      </c>
    </row>
    <row r="39" spans="2:11" x14ac:dyDescent="0.25">
      <c r="B39" s="1">
        <v>2028</v>
      </c>
      <c r="C39" s="3">
        <f t="shared" si="5"/>
        <v>6.6998048927568927</v>
      </c>
      <c r="D39" s="3">
        <f t="shared" si="10"/>
        <v>44.8873856010092</v>
      </c>
      <c r="E39" s="3">
        <f t="shared" si="11"/>
        <v>3.8886080832421177</v>
      </c>
      <c r="F39" s="3">
        <f t="shared" si="12"/>
        <v>1.9257612594785201</v>
      </c>
      <c r="G39" s="3">
        <f t="shared" si="7"/>
        <v>4.35487318029198</v>
      </c>
      <c r="H39" s="3">
        <f t="shared" si="8"/>
        <v>2.693243136060552</v>
      </c>
      <c r="J39" s="1">
        <f t="shared" si="2"/>
        <v>2.6799219571027573</v>
      </c>
      <c r="K39" s="1">
        <f t="shared" si="9"/>
        <v>1.661630044231428</v>
      </c>
    </row>
    <row r="40" spans="2:11" x14ac:dyDescent="0.25">
      <c r="B40" s="1">
        <v>2029</v>
      </c>
      <c r="C40" s="3">
        <f t="shared" si="5"/>
        <v>6.8226839033653484</v>
      </c>
      <c r="D40" s="3">
        <f t="shared" si="10"/>
        <v>46.54901564524063</v>
      </c>
      <c r="E40" s="3">
        <f t="shared" si="11"/>
        <v>3.7017750576992192</v>
      </c>
      <c r="F40" s="3">
        <f t="shared" si="12"/>
        <v>1.8340684926705819</v>
      </c>
      <c r="G40" s="3">
        <f t="shared" si="7"/>
        <v>4.434744537187477</v>
      </c>
      <c r="H40" s="3">
        <f t="shared" si="8"/>
        <v>2.7929409387144375</v>
      </c>
      <c r="J40" s="1">
        <f t="shared" si="2"/>
        <v>2.7290735613461394</v>
      </c>
      <c r="K40" s="1">
        <f t="shared" si="9"/>
        <v>1.6418035984730395</v>
      </c>
    </row>
    <row r="41" spans="2:11" x14ac:dyDescent="0.25">
      <c r="B41" s="1">
        <v>2030</v>
      </c>
      <c r="C41" s="3">
        <f t="shared" si="5"/>
        <v>6.9419607636253371</v>
      </c>
      <c r="D41" s="3">
        <f t="shared" si="10"/>
        <v>48.190819243713669</v>
      </c>
      <c r="E41" s="3">
        <f t="shared" si="11"/>
        <v>3.5270425716100062</v>
      </c>
      <c r="F41" s="3">
        <f t="shared" si="12"/>
        <v>1.7482395776998283</v>
      </c>
      <c r="G41" s="3">
        <f t="shared" si="7"/>
        <v>4.5122744963564694</v>
      </c>
      <c r="H41" s="3">
        <f t="shared" si="8"/>
        <v>2.89144915462282</v>
      </c>
      <c r="J41" s="1">
        <f t="shared" si="2"/>
        <v>2.7767843054501351</v>
      </c>
      <c r="K41" s="1">
        <f t="shared" si="9"/>
        <v>1.6208253417336493</v>
      </c>
    </row>
    <row r="42" spans="2:11" x14ac:dyDescent="0.25">
      <c r="B42" s="1">
        <v>2031</v>
      </c>
      <c r="C42" s="3">
        <f t="shared" si="5"/>
        <v>7.0577365058102952</v>
      </c>
      <c r="D42" s="3">
        <f t="shared" si="10"/>
        <v>49.811644585447311</v>
      </c>
      <c r="E42" s="3">
        <f t="shared" si="11"/>
        <v>3.3633488020544</v>
      </c>
      <c r="F42" s="3">
        <f t="shared" si="12"/>
        <v>1.667767164453049</v>
      </c>
      <c r="G42" s="3">
        <f t="shared" si="7"/>
        <v>4.5875287287766922</v>
      </c>
      <c r="H42" s="3">
        <f t="shared" si="8"/>
        <v>2.9886986751268387</v>
      </c>
      <c r="J42" s="1">
        <f t="shared" si="2"/>
        <v>2.8230946023241184</v>
      </c>
      <c r="K42" s="1">
        <f t="shared" si="9"/>
        <v>1.5988300536498534</v>
      </c>
    </row>
    <row r="43" spans="2:11" x14ac:dyDescent="0.25">
      <c r="B43" s="1">
        <v>2032</v>
      </c>
      <c r="C43" s="3">
        <f t="shared" si="5"/>
        <v>7.1701098066275915</v>
      </c>
      <c r="D43" s="3">
        <f t="shared" si="10"/>
        <v>51.41047463909716</v>
      </c>
      <c r="E43" s="3">
        <f t="shared" si="11"/>
        <v>3.2097515891233108</v>
      </c>
      <c r="F43" s="3">
        <f t="shared" si="12"/>
        <v>1.5922002858109741</v>
      </c>
      <c r="G43" s="3">
        <f t="shared" si="7"/>
        <v>4.6605713743079349</v>
      </c>
      <c r="H43" s="3">
        <f t="shared" si="8"/>
        <v>3.0846284783458295</v>
      </c>
      <c r="J43" s="1">
        <f t="shared" si="2"/>
        <v>2.8680439226510366</v>
      </c>
      <c r="K43" s="1">
        <f t="shared" si="9"/>
        <v>1.5759428959621054</v>
      </c>
    </row>
    <row r="44" spans="2:11" x14ac:dyDescent="0.25">
      <c r="B44" s="1">
        <v>2033</v>
      </c>
      <c r="C44" s="3">
        <f t="shared" si="5"/>
        <v>7.2791769819849321</v>
      </c>
      <c r="D44" s="3">
        <f t="shared" si="10"/>
        <v>52.98641753505926</v>
      </c>
      <c r="E44" s="3">
        <f t="shared" si="11"/>
        <v>3.0654120721997913</v>
      </c>
      <c r="F44" s="3">
        <f t="shared" si="12"/>
        <v>1.5211367510233442</v>
      </c>
      <c r="G44" s="3">
        <f t="shared" si="7"/>
        <v>4.7314650382902057</v>
      </c>
      <c r="H44" s="3">
        <f t="shared" si="8"/>
        <v>3.1791850521035556</v>
      </c>
      <c r="J44" s="1">
        <f t="shared" si="2"/>
        <v>2.9116707927939731</v>
      </c>
      <c r="K44" s="1">
        <f t="shared" si="9"/>
        <v>1.5522799861866501</v>
      </c>
    </row>
    <row r="45" spans="2:11" x14ac:dyDescent="0.25">
      <c r="B45" s="1">
        <v>2034</v>
      </c>
      <c r="C45" s="3">
        <f t="shared" si="5"/>
        <v>7.3850319918904823</v>
      </c>
      <c r="D45" s="3">
        <f t="shared" si="10"/>
        <v>54.538697521245908</v>
      </c>
      <c r="E45" s="3">
        <f t="shared" si="11"/>
        <v>2.9295809348868662</v>
      </c>
      <c r="F45" s="3">
        <f t="shared" si="12"/>
        <v>1.4542167358690072</v>
      </c>
      <c r="G45" s="3">
        <f t="shared" si="7"/>
        <v>4.8002707947288137</v>
      </c>
      <c r="H45" s="3">
        <f t="shared" si="8"/>
        <v>3.2723218512747545</v>
      </c>
      <c r="J45" s="1">
        <f t="shared" si="2"/>
        <v>2.9540127967561931</v>
      </c>
      <c r="K45" s="1">
        <f t="shared" si="9"/>
        <v>1.5279489434540592</v>
      </c>
    </row>
    <row r="46" spans="2:11" x14ac:dyDescent="0.25">
      <c r="B46" s="1">
        <v>2035</v>
      </c>
      <c r="C46" s="3">
        <f t="shared" si="5"/>
        <v>7.4877664536696091</v>
      </c>
      <c r="D46" s="3">
        <f t="shared" si="10"/>
        <v>56.066646464699957</v>
      </c>
      <c r="E46" s="3">
        <f t="shared" si="11"/>
        <v>2.8015867868110167</v>
      </c>
      <c r="F46" s="3">
        <f t="shared" si="12"/>
        <v>1.3911173559158607</v>
      </c>
      <c r="G46" s="3">
        <f t="shared" si="7"/>
        <v>4.8670481948852462</v>
      </c>
      <c r="H46" s="3">
        <f t="shared" si="8"/>
        <v>3.3639987878819975</v>
      </c>
      <c r="J46" s="1">
        <f t="shared" si="2"/>
        <v>2.9951065814678439</v>
      </c>
      <c r="K46" s="1">
        <f t="shared" si="9"/>
        <v>1.5030494070032487</v>
      </c>
    </row>
    <row r="47" spans="2:11" x14ac:dyDescent="0.25">
      <c r="B47" s="1">
        <v>2036</v>
      </c>
      <c r="C47" s="3">
        <f t="shared" si="5"/>
        <v>7.5874696619955726</v>
      </c>
      <c r="D47" s="3">
        <f t="shared" si="10"/>
        <v>57.569695871703203</v>
      </c>
      <c r="E47" s="3">
        <f t="shared" si="11"/>
        <v>2.6808263054391546</v>
      </c>
      <c r="F47" s="3">
        <f t="shared" si="12"/>
        <v>1.331548051650322</v>
      </c>
      <c r="G47" s="3">
        <f t="shared" si="7"/>
        <v>4.9318552802971221</v>
      </c>
      <c r="H47" s="3">
        <f t="shared" si="8"/>
        <v>3.4541817523021923</v>
      </c>
      <c r="J47" s="1">
        <f t="shared" si="2"/>
        <v>3.0349878647982291</v>
      </c>
      <c r="K47" s="1">
        <f t="shared" si="9"/>
        <v>1.4776735279949298</v>
      </c>
    </row>
    <row r="48" spans="2:11" x14ac:dyDescent="0.25">
      <c r="B48" s="1">
        <v>2037</v>
      </c>
      <c r="C48" s="3">
        <f t="shared" si="5"/>
        <v>7.6842286144868259</v>
      </c>
      <c r="D48" s="3">
        <f t="shared" si="10"/>
        <v>59.047369399698127</v>
      </c>
      <c r="E48" s="3">
        <f t="shared" si="11"/>
        <v>2.5667558350281894</v>
      </c>
      <c r="F48" s="3">
        <f t="shared" si="12"/>
        <v>1.275246647454864</v>
      </c>
      <c r="G48" s="3">
        <f t="shared" si="7"/>
        <v>4.9947485994164369</v>
      </c>
      <c r="H48" s="3">
        <f t="shared" si="8"/>
        <v>3.5428421639818874</v>
      </c>
      <c r="J48" s="1">
        <f t="shared" si="2"/>
        <v>3.0736914457947306</v>
      </c>
      <c r="K48" s="1">
        <f t="shared" si="9"/>
        <v>1.4519064354345494</v>
      </c>
    </row>
    <row r="49" spans="2:11" x14ac:dyDescent="0.25">
      <c r="B49" s="1">
        <v>2038</v>
      </c>
      <c r="C49" s="3">
        <f t="shared" si="5"/>
        <v>7.7781280418319598</v>
      </c>
      <c r="D49" s="3">
        <f t="shared" si="10"/>
        <v>60.499275835132678</v>
      </c>
      <c r="E49" s="3">
        <f t="shared" si="11"/>
        <v>2.4588841978826048</v>
      </c>
      <c r="F49" s="3">
        <f t="shared" si="12"/>
        <v>1.2219759725538237</v>
      </c>
      <c r="G49" s="3">
        <f t="shared" si="7"/>
        <v>5.0557832271907737</v>
      </c>
      <c r="H49" s="3">
        <f t="shared" si="8"/>
        <v>3.6299565501079605</v>
      </c>
      <c r="J49" s="1">
        <f t="shared" si="2"/>
        <v>3.1112512167327839</v>
      </c>
      <c r="K49" s="1">
        <f t="shared" si="9"/>
        <v>1.4258266770828132</v>
      </c>
    </row>
    <row r="50" spans="2:11" x14ac:dyDescent="0.25">
      <c r="B50" s="1">
        <v>2039</v>
      </c>
      <c r="C50" s="3">
        <f t="shared" si="5"/>
        <v>7.8692504415741835</v>
      </c>
      <c r="D50" s="3">
        <f t="shared" si="10"/>
        <v>61.925102512215489</v>
      </c>
      <c r="E50" s="3">
        <f t="shared" si="11"/>
        <v>2.3567665189387466</v>
      </c>
      <c r="F50" s="3">
        <f t="shared" si="12"/>
        <v>1.1715209527556336</v>
      </c>
      <c r="G50" s="3">
        <f t="shared" si="7"/>
        <v>5.1150127870232192</v>
      </c>
      <c r="H50" s="3">
        <f t="shared" si="8"/>
        <v>3.7155061507329292</v>
      </c>
      <c r="J50" s="1">
        <f t="shared" si="2"/>
        <v>3.1477001766296735</v>
      </c>
      <c r="K50" s="1">
        <f t="shared" si="9"/>
        <v>1.3995066362902899</v>
      </c>
    </row>
    <row r="57" spans="2:11" x14ac:dyDescent="0.25">
      <c r="B57" s="12"/>
    </row>
  </sheetData>
  <mergeCells count="4">
    <mergeCell ref="B4:C4"/>
    <mergeCell ref="F4:G4"/>
    <mergeCell ref="B1:H1"/>
    <mergeCell ref="D4:E4"/>
  </mergeCells>
  <pageMargins left="0.7" right="0.7" top="0.75" bottom="0.75" header="0.3" footer="0.3"/>
  <pageSetup orientation="portrait" horizontalDpi="4294967293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9739-D405-4EAC-A018-CD5507E024F6}">
  <dimension ref="B1:J57"/>
  <sheetViews>
    <sheetView showGridLines="0" tabSelected="1" topLeftCell="A46" workbookViewId="0">
      <selection activeCell="Q59" sqref="Q59"/>
    </sheetView>
  </sheetViews>
  <sheetFormatPr baseColWidth="10" defaultRowHeight="15" x14ac:dyDescent="0.25"/>
  <cols>
    <col min="1" max="1" width="3.28515625" style="1" customWidth="1"/>
    <col min="2" max="8" width="11.42578125" style="1"/>
    <col min="9" max="9" width="2.85546875" style="1" customWidth="1"/>
    <col min="10" max="16384" width="11.42578125" style="1"/>
  </cols>
  <sheetData>
    <row r="1" spans="2:10" ht="18" x14ac:dyDescent="0.25">
      <c r="B1" s="18" t="s">
        <v>4</v>
      </c>
      <c r="C1" s="19"/>
      <c r="D1" s="19"/>
      <c r="E1" s="19"/>
      <c r="F1" s="19"/>
      <c r="G1" s="19"/>
      <c r="H1" s="20"/>
    </row>
    <row r="2" spans="2:10" ht="15.75" x14ac:dyDescent="0.25">
      <c r="B2" s="5" t="s">
        <v>10</v>
      </c>
      <c r="C2" s="4"/>
      <c r="D2" s="4"/>
      <c r="E2" s="4"/>
      <c r="F2" s="4"/>
    </row>
    <row r="3" spans="2:10" ht="15.75" thickBot="1" x14ac:dyDescent="0.3"/>
    <row r="4" spans="2:10" s="6" customFormat="1" ht="12.75" x14ac:dyDescent="0.25">
      <c r="B4" s="16" t="s">
        <v>13</v>
      </c>
      <c r="C4" s="17"/>
      <c r="D4" s="16" t="s">
        <v>12</v>
      </c>
      <c r="E4" s="17"/>
      <c r="F4" s="16" t="s">
        <v>8</v>
      </c>
      <c r="G4" s="17"/>
    </row>
    <row r="5" spans="2:10" s="6" customFormat="1" ht="13.5" x14ac:dyDescent="0.25">
      <c r="B5" s="8" t="s">
        <v>5</v>
      </c>
      <c r="C5" s="9">
        <v>0.5</v>
      </c>
      <c r="D5" s="8" t="s">
        <v>5</v>
      </c>
      <c r="E5" s="9">
        <v>0.5</v>
      </c>
      <c r="F5" s="8" t="s">
        <v>9</v>
      </c>
      <c r="G5" s="15">
        <v>1</v>
      </c>
    </row>
    <row r="6" spans="2:10" s="6" customFormat="1" ht="13.5" x14ac:dyDescent="0.25">
      <c r="B6" s="8" t="s">
        <v>3</v>
      </c>
      <c r="C6" s="9">
        <v>0.6</v>
      </c>
      <c r="D6" s="8" t="s">
        <v>3</v>
      </c>
      <c r="E6" s="9">
        <v>0.6</v>
      </c>
      <c r="F6" s="8"/>
      <c r="G6" s="9"/>
    </row>
    <row r="7" spans="2:10" s="6" customFormat="1" ht="13.5" x14ac:dyDescent="0.25">
      <c r="B7" s="8" t="s">
        <v>6</v>
      </c>
      <c r="C7" s="9">
        <v>1</v>
      </c>
      <c r="D7" s="8" t="s">
        <v>6</v>
      </c>
      <c r="E7" s="9">
        <v>1</v>
      </c>
      <c r="F7" s="8"/>
      <c r="G7" s="9"/>
    </row>
    <row r="8" spans="2:10" s="6" customFormat="1" ht="14.25" thickBot="1" x14ac:dyDescent="0.3">
      <c r="B8" s="10" t="s">
        <v>7</v>
      </c>
      <c r="C8" s="11">
        <v>0.18</v>
      </c>
      <c r="D8" s="10" t="s">
        <v>7</v>
      </c>
      <c r="E8" s="11">
        <v>0.18</v>
      </c>
      <c r="F8" s="10"/>
      <c r="G8" s="11"/>
    </row>
    <row r="10" spans="2:10" ht="18" x14ac:dyDescent="0.25">
      <c r="B10" s="13" t="s">
        <v>1</v>
      </c>
      <c r="C10" s="13" t="s">
        <v>0</v>
      </c>
      <c r="D10" s="13" t="s">
        <v>2</v>
      </c>
      <c r="E10" s="14" t="s">
        <v>14</v>
      </c>
      <c r="F10" s="14" t="s">
        <v>15</v>
      </c>
      <c r="G10" s="13" t="s">
        <v>16</v>
      </c>
      <c r="H10" s="13" t="s">
        <v>17</v>
      </c>
      <c r="J10" s="13" t="s">
        <v>21</v>
      </c>
    </row>
    <row r="11" spans="2:10" x14ac:dyDescent="0.25">
      <c r="B11" s="1">
        <v>2000</v>
      </c>
      <c r="C11" s="3">
        <f>$C$7*D11^$C$5</f>
        <v>1</v>
      </c>
      <c r="D11" s="3">
        <f>G5</f>
        <v>1</v>
      </c>
      <c r="E11" s="1" t="s">
        <v>11</v>
      </c>
      <c r="F11" s="1" t="s">
        <v>11</v>
      </c>
      <c r="G11" s="3">
        <f>$C$6*C11</f>
        <v>0.6</v>
      </c>
      <c r="H11" s="3">
        <f>$C$8*D11</f>
        <v>0.18</v>
      </c>
      <c r="J11" s="1">
        <f>G11-$C$8*D11</f>
        <v>0.42</v>
      </c>
    </row>
    <row r="12" spans="2:10" x14ac:dyDescent="0.25">
      <c r="B12" s="1">
        <v>2001</v>
      </c>
      <c r="C12" s="3">
        <f t="shared" ref="C12:C14" si="0">$C$7*D12^$C$5</f>
        <v>1.4142135623730951</v>
      </c>
      <c r="D12" s="3">
        <f>D11+1</f>
        <v>2</v>
      </c>
      <c r="E12" s="3">
        <f>(D12/D11-1)*100</f>
        <v>100</v>
      </c>
      <c r="F12" s="3">
        <f>(C12/C11-1)*100</f>
        <v>41.421356237309517</v>
      </c>
      <c r="G12" s="3">
        <f>$C$6*C12</f>
        <v>0.84852813742385702</v>
      </c>
      <c r="H12" s="3">
        <f>$C$8*D12</f>
        <v>0.36</v>
      </c>
      <c r="J12" s="1">
        <f t="shared" ref="J12:J50" si="1">G12-$C$8*D12</f>
        <v>0.48852813742385703</v>
      </c>
    </row>
    <row r="13" spans="2:10" x14ac:dyDescent="0.25">
      <c r="B13" s="1">
        <v>2002</v>
      </c>
      <c r="C13" s="3">
        <f t="shared" si="0"/>
        <v>1.7320508075688772</v>
      </c>
      <c r="D13" s="3">
        <f t="shared" ref="D13:D50" si="2">D12+1</f>
        <v>3</v>
      </c>
      <c r="E13" s="3">
        <f>(D13/D12-1)*100</f>
        <v>50</v>
      </c>
      <c r="F13" s="3">
        <f>(C13/C12-1)*100</f>
        <v>22.474487139158896</v>
      </c>
      <c r="G13" s="3">
        <f>$C$6*C13</f>
        <v>1.0392304845413263</v>
      </c>
      <c r="H13" s="3">
        <f t="shared" ref="H12:H50" si="3">$C$8*D13</f>
        <v>0.54</v>
      </c>
      <c r="J13" s="1">
        <f t="shared" si="1"/>
        <v>0.49923048454132624</v>
      </c>
    </row>
    <row r="14" spans="2:10" x14ac:dyDescent="0.25">
      <c r="B14" s="1">
        <v>2003</v>
      </c>
      <c r="C14" s="3">
        <f t="shared" si="0"/>
        <v>2</v>
      </c>
      <c r="D14" s="3">
        <f t="shared" si="2"/>
        <v>4</v>
      </c>
      <c r="E14" s="3">
        <f>(D14/D13-1)*100</f>
        <v>33.333333333333329</v>
      </c>
      <c r="F14" s="3">
        <f>(C14/C13-1)*100</f>
        <v>15.470053837925168</v>
      </c>
      <c r="G14" s="3">
        <f t="shared" ref="G14:G38" si="4">$C$6*C14</f>
        <v>1.2</v>
      </c>
      <c r="H14" s="3">
        <f t="shared" si="3"/>
        <v>0.72</v>
      </c>
      <c r="J14" s="1">
        <f t="shared" si="1"/>
        <v>0.48</v>
      </c>
    </row>
    <row r="15" spans="2:10" x14ac:dyDescent="0.25">
      <c r="B15" s="12">
        <v>2004</v>
      </c>
      <c r="C15" s="3">
        <f>$E$7*D15^$E$5</f>
        <v>2.2360679774997898</v>
      </c>
      <c r="D15" s="3">
        <f t="shared" si="2"/>
        <v>5</v>
      </c>
      <c r="E15" s="3">
        <f>(D15/D14-1)*100</f>
        <v>25</v>
      </c>
      <c r="F15" s="3">
        <f>(C15/C14-1)*100</f>
        <v>11.80339887498949</v>
      </c>
      <c r="G15" s="3">
        <f>$E$6*C15</f>
        <v>1.3416407864998738</v>
      </c>
      <c r="H15" s="3">
        <f>$E$8*D15</f>
        <v>0.89999999999999991</v>
      </c>
      <c r="J15" s="1">
        <f t="shared" si="1"/>
        <v>0.44164078649987393</v>
      </c>
    </row>
    <row r="16" spans="2:10" x14ac:dyDescent="0.25">
      <c r="B16" s="1">
        <v>2005</v>
      </c>
      <c r="C16" s="3">
        <f t="shared" ref="C16:C50" si="5">$E$7*D16^$E$5</f>
        <v>2.4494897427831779</v>
      </c>
      <c r="D16" s="3">
        <f t="shared" si="2"/>
        <v>6</v>
      </c>
      <c r="E16" s="3">
        <f>(D16/D15-1)*100</f>
        <v>19.999999999999996</v>
      </c>
      <c r="F16" s="3">
        <f>(C16/C15-1)*100</f>
        <v>9.5445115010332149</v>
      </c>
      <c r="G16" s="3">
        <f t="shared" ref="G16:G50" si="6">$E$6*C16</f>
        <v>1.4696938456699067</v>
      </c>
      <c r="H16" s="3">
        <f t="shared" ref="H16:H50" si="7">$E$8*D16</f>
        <v>1.08</v>
      </c>
      <c r="J16" s="1">
        <f t="shared" si="1"/>
        <v>0.38969384566990661</v>
      </c>
    </row>
    <row r="17" spans="2:10" x14ac:dyDescent="0.25">
      <c r="B17" s="1">
        <v>2006</v>
      </c>
      <c r="C17" s="3">
        <f t="shared" si="5"/>
        <v>2.6457513110645907</v>
      </c>
      <c r="D17" s="3">
        <f t="shared" si="2"/>
        <v>7</v>
      </c>
      <c r="E17" s="3">
        <f>(D17/D16-1)*100</f>
        <v>16.666666666666675</v>
      </c>
      <c r="F17" s="3">
        <f>(C17/C16-1)*100</f>
        <v>8.0123449734643479</v>
      </c>
      <c r="G17" s="3">
        <f t="shared" si="6"/>
        <v>1.5874507866387544</v>
      </c>
      <c r="H17" s="3">
        <f t="shared" si="7"/>
        <v>1.26</v>
      </c>
      <c r="J17" s="1">
        <f t="shared" si="1"/>
        <v>0.32745078663875438</v>
      </c>
    </row>
    <row r="18" spans="2:10" x14ac:dyDescent="0.25">
      <c r="B18" s="1">
        <v>2007</v>
      </c>
      <c r="C18" s="3">
        <f t="shared" si="5"/>
        <v>2.8284271247461903</v>
      </c>
      <c r="D18" s="3">
        <f t="shared" si="2"/>
        <v>8</v>
      </c>
      <c r="E18" s="3">
        <f>(D18/D17-1)*100</f>
        <v>14.285714285714279</v>
      </c>
      <c r="F18" s="3">
        <f>(C18/C17-1)*100</f>
        <v>6.9044967649697586</v>
      </c>
      <c r="G18" s="3">
        <f t="shared" si="6"/>
        <v>1.697056274847714</v>
      </c>
      <c r="H18" s="3">
        <f t="shared" si="7"/>
        <v>1.44</v>
      </c>
      <c r="J18" s="1">
        <f t="shared" si="1"/>
        <v>0.25705627484771409</v>
      </c>
    </row>
    <row r="19" spans="2:10" x14ac:dyDescent="0.25">
      <c r="B19" s="1">
        <v>2008</v>
      </c>
      <c r="C19" s="3">
        <f t="shared" si="5"/>
        <v>3</v>
      </c>
      <c r="D19" s="3">
        <f t="shared" si="2"/>
        <v>9</v>
      </c>
      <c r="E19" s="3">
        <f>(D19/D18-1)*100</f>
        <v>12.5</v>
      </c>
      <c r="F19" s="3">
        <f>(C19/C18-1)*100</f>
        <v>6.0660171779821193</v>
      </c>
      <c r="G19" s="3">
        <f t="shared" si="6"/>
        <v>1.7999999999999998</v>
      </c>
      <c r="H19" s="3">
        <f t="shared" si="7"/>
        <v>1.6199999999999999</v>
      </c>
      <c r="J19" s="1">
        <f t="shared" si="1"/>
        <v>0.17999999999999994</v>
      </c>
    </row>
    <row r="20" spans="2:10" x14ac:dyDescent="0.25">
      <c r="B20" s="1">
        <v>2009</v>
      </c>
      <c r="C20" s="3">
        <f t="shared" si="5"/>
        <v>3.1622776601683795</v>
      </c>
      <c r="D20" s="3">
        <f t="shared" si="2"/>
        <v>10</v>
      </c>
      <c r="E20" s="3">
        <f>(D20/D19-1)*100</f>
        <v>11.111111111111116</v>
      </c>
      <c r="F20" s="3">
        <f>(C20/C19-1)*100</f>
        <v>5.4092553389459841</v>
      </c>
      <c r="G20" s="3">
        <f t="shared" si="6"/>
        <v>1.8973665961010275</v>
      </c>
      <c r="H20" s="3">
        <f t="shared" si="7"/>
        <v>1.7999999999999998</v>
      </c>
      <c r="J20" s="1">
        <f t="shared" si="1"/>
        <v>9.7366596101027714E-2</v>
      </c>
    </row>
    <row r="21" spans="2:10" x14ac:dyDescent="0.25">
      <c r="B21" s="1">
        <v>2010</v>
      </c>
      <c r="C21" s="3">
        <f t="shared" si="5"/>
        <v>3.3166247903553998</v>
      </c>
      <c r="D21" s="3">
        <f t="shared" si="2"/>
        <v>11</v>
      </c>
      <c r="E21" s="3">
        <f>(D21/D20-1)*100</f>
        <v>10.000000000000009</v>
      </c>
      <c r="F21" s="3">
        <f>(C21/C20-1)*100</f>
        <v>4.8808848170151409</v>
      </c>
      <c r="G21" s="3">
        <f t="shared" si="6"/>
        <v>1.9899748742132397</v>
      </c>
      <c r="H21" s="3">
        <f t="shared" si="7"/>
        <v>1.98</v>
      </c>
      <c r="J21" s="1">
        <f t="shared" si="1"/>
        <v>9.9748742132397261E-3</v>
      </c>
    </row>
    <row r="22" spans="2:10" x14ac:dyDescent="0.25">
      <c r="B22" s="1">
        <v>2011</v>
      </c>
      <c r="C22" s="3">
        <f t="shared" si="5"/>
        <v>3.4641016151377544</v>
      </c>
      <c r="D22" s="3">
        <f t="shared" si="2"/>
        <v>12</v>
      </c>
      <c r="E22" s="3">
        <f>(D22/D21-1)*100</f>
        <v>9.0909090909090828</v>
      </c>
      <c r="F22" s="3">
        <f>(C22/C21-1)*100</f>
        <v>4.4465935734187001</v>
      </c>
      <c r="G22" s="3">
        <f t="shared" si="6"/>
        <v>2.0784609690826525</v>
      </c>
      <c r="H22" s="3">
        <f t="shared" si="7"/>
        <v>2.16</v>
      </c>
      <c r="J22" s="1">
        <f t="shared" si="1"/>
        <v>-8.1539030917347599E-2</v>
      </c>
    </row>
    <row r="23" spans="2:10" x14ac:dyDescent="0.25">
      <c r="B23" s="1">
        <v>2012</v>
      </c>
      <c r="C23" s="3">
        <f t="shared" si="5"/>
        <v>3.6055512754639891</v>
      </c>
      <c r="D23" s="3">
        <f t="shared" si="2"/>
        <v>13</v>
      </c>
      <c r="E23" s="3">
        <f>(D23/D22-1)*100</f>
        <v>8.333333333333325</v>
      </c>
      <c r="F23" s="3">
        <f>(C23/C22-1)*100</f>
        <v>4.0832999733066311</v>
      </c>
      <c r="G23" s="3">
        <f t="shared" si="6"/>
        <v>2.1633307652783933</v>
      </c>
      <c r="H23" s="3">
        <f t="shared" si="7"/>
        <v>2.34</v>
      </c>
      <c r="J23" s="1">
        <f t="shared" si="1"/>
        <v>-0.17666923472160656</v>
      </c>
    </row>
    <row r="24" spans="2:10" x14ac:dyDescent="0.25">
      <c r="B24" s="1">
        <v>2013</v>
      </c>
      <c r="C24" s="3">
        <f t="shared" si="5"/>
        <v>3.7416573867739413</v>
      </c>
      <c r="D24" s="3">
        <f t="shared" si="2"/>
        <v>14</v>
      </c>
      <c r="E24" s="3">
        <f>(D24/D23-1)*100</f>
        <v>7.6923076923076872</v>
      </c>
      <c r="F24" s="3">
        <f>(C24/C23-1)*100</f>
        <v>3.7749043325541631</v>
      </c>
      <c r="G24" s="3">
        <f t="shared" si="6"/>
        <v>2.2449944320643649</v>
      </c>
      <c r="H24" s="3">
        <f t="shared" si="7"/>
        <v>2.52</v>
      </c>
      <c r="J24" s="1">
        <f t="shared" si="1"/>
        <v>-0.27500556793563513</v>
      </c>
    </row>
    <row r="25" spans="2:10" x14ac:dyDescent="0.25">
      <c r="B25" s="1">
        <v>2014</v>
      </c>
      <c r="C25" s="3">
        <f t="shared" si="5"/>
        <v>3.872983346207417</v>
      </c>
      <c r="D25" s="3">
        <f t="shared" si="2"/>
        <v>15</v>
      </c>
      <c r="E25" s="3">
        <f>(D25/D24-1)*100</f>
        <v>7.1428571428571397</v>
      </c>
      <c r="F25" s="3">
        <f>(C25/C24-1)*100</f>
        <v>3.5098339013531321</v>
      </c>
      <c r="G25" s="3">
        <f t="shared" si="6"/>
        <v>2.3237900077244502</v>
      </c>
      <c r="H25" s="3">
        <f t="shared" si="7"/>
        <v>2.6999999999999997</v>
      </c>
      <c r="J25" s="1">
        <f t="shared" si="1"/>
        <v>-0.37620999227554952</v>
      </c>
    </row>
    <row r="26" spans="2:10" x14ac:dyDescent="0.25">
      <c r="B26" s="1">
        <v>2015</v>
      </c>
      <c r="C26" s="3">
        <f t="shared" si="5"/>
        <v>4</v>
      </c>
      <c r="D26" s="3">
        <f t="shared" si="2"/>
        <v>16</v>
      </c>
      <c r="E26" s="3">
        <f>(D26/D25-1)*100</f>
        <v>6.6666666666666652</v>
      </c>
      <c r="F26" s="3">
        <f>(C26/C25-1)*100</f>
        <v>3.2795558988644391</v>
      </c>
      <c r="G26" s="3">
        <f t="shared" si="6"/>
        <v>2.4</v>
      </c>
      <c r="H26" s="3">
        <f t="shared" si="7"/>
        <v>2.88</v>
      </c>
      <c r="J26" s="1">
        <f t="shared" si="1"/>
        <v>-0.48</v>
      </c>
    </row>
    <row r="27" spans="2:10" x14ac:dyDescent="0.25">
      <c r="B27" s="1">
        <v>2016</v>
      </c>
      <c r="C27" s="3">
        <f t="shared" si="5"/>
        <v>4.1231056256176606</v>
      </c>
      <c r="D27" s="3">
        <f t="shared" si="2"/>
        <v>17</v>
      </c>
      <c r="E27" s="3">
        <f>(D27/D26-1)*100</f>
        <v>6.25</v>
      </c>
      <c r="F27" s="3">
        <f>(C27/C26-1)*100</f>
        <v>3.0776406404415146</v>
      </c>
      <c r="G27" s="3">
        <f t="shared" si="6"/>
        <v>2.4738633753705961</v>
      </c>
      <c r="H27" s="3">
        <f t="shared" si="7"/>
        <v>3.06</v>
      </c>
      <c r="J27" s="1">
        <f t="shared" si="1"/>
        <v>-0.58613662462940397</v>
      </c>
    </row>
    <row r="28" spans="2:10" x14ac:dyDescent="0.25">
      <c r="B28" s="1">
        <v>2017</v>
      </c>
      <c r="C28" s="3">
        <f t="shared" si="5"/>
        <v>4.2426406871192848</v>
      </c>
      <c r="D28" s="3">
        <f t="shared" si="2"/>
        <v>18</v>
      </c>
      <c r="E28" s="3">
        <f>(D28/D27-1)*100</f>
        <v>5.8823529411764719</v>
      </c>
      <c r="F28" s="3">
        <f>(C28/C27-1)*100</f>
        <v>2.8991510855052915</v>
      </c>
      <c r="G28" s="3">
        <f t="shared" si="6"/>
        <v>2.545584412271571</v>
      </c>
      <c r="H28" s="3">
        <f t="shared" si="7"/>
        <v>3.2399999999999998</v>
      </c>
      <c r="J28" s="1">
        <f t="shared" si="1"/>
        <v>-0.69441558772842882</v>
      </c>
    </row>
    <row r="29" spans="2:10" x14ac:dyDescent="0.25">
      <c r="B29" s="1">
        <v>2018</v>
      </c>
      <c r="C29" s="3">
        <f t="shared" si="5"/>
        <v>4.358898943540674</v>
      </c>
      <c r="D29" s="3">
        <f t="shared" si="2"/>
        <v>19</v>
      </c>
      <c r="E29" s="3">
        <f>(D29/D28-1)*100</f>
        <v>5.555555555555558</v>
      </c>
      <c r="F29" s="3">
        <f>(C29/C28-1)*100</f>
        <v>2.7402333828163039</v>
      </c>
      <c r="G29" s="3">
        <f t="shared" si="6"/>
        <v>2.6153393661244042</v>
      </c>
      <c r="H29" s="3">
        <f t="shared" si="7"/>
        <v>3.42</v>
      </c>
      <c r="J29" s="1">
        <f t="shared" si="1"/>
        <v>-0.80466063387559572</v>
      </c>
    </row>
    <row r="30" spans="2:10" x14ac:dyDescent="0.25">
      <c r="B30" s="1">
        <v>2019</v>
      </c>
      <c r="C30" s="3">
        <f t="shared" si="5"/>
        <v>4.4721359549995796</v>
      </c>
      <c r="D30" s="3">
        <f t="shared" si="2"/>
        <v>20</v>
      </c>
      <c r="E30" s="3">
        <f>(D30/D29-1)*100</f>
        <v>5.2631578947368363</v>
      </c>
      <c r="F30" s="3">
        <f>(C30/C29-1)*100</f>
        <v>2.5978352085153977</v>
      </c>
      <c r="G30" s="3">
        <f t="shared" si="6"/>
        <v>2.6832815729997477</v>
      </c>
      <c r="H30" s="3">
        <f t="shared" si="7"/>
        <v>3.5999999999999996</v>
      </c>
      <c r="J30" s="1">
        <f t="shared" si="1"/>
        <v>-0.91671842700025197</v>
      </c>
    </row>
    <row r="31" spans="2:10" x14ac:dyDescent="0.25">
      <c r="B31" s="1">
        <v>2020</v>
      </c>
      <c r="C31" s="3">
        <f t="shared" si="5"/>
        <v>4.5825756949558398</v>
      </c>
      <c r="D31" s="3">
        <f t="shared" si="2"/>
        <v>21</v>
      </c>
      <c r="E31" s="3">
        <f>(D31/D30-1)*100</f>
        <v>5.0000000000000044</v>
      </c>
      <c r="F31" s="3">
        <f>(C31/C30-1)*100</f>
        <v>2.4695076595959708</v>
      </c>
      <c r="G31" s="3">
        <f t="shared" si="6"/>
        <v>2.7495454169735036</v>
      </c>
      <c r="H31" s="3">
        <f t="shared" si="7"/>
        <v>3.78</v>
      </c>
      <c r="J31" s="1">
        <f t="shared" si="1"/>
        <v>-1.0304545830264962</v>
      </c>
    </row>
    <row r="32" spans="2:10" x14ac:dyDescent="0.25">
      <c r="B32" s="1">
        <v>2021</v>
      </c>
      <c r="C32" s="3">
        <f t="shared" si="5"/>
        <v>4.6904157598234297</v>
      </c>
      <c r="D32" s="3">
        <f t="shared" si="2"/>
        <v>22</v>
      </c>
      <c r="E32" s="3">
        <f>(D32/D31-1)*100</f>
        <v>4.7619047619047672</v>
      </c>
      <c r="F32" s="3">
        <f>(C32/C31-1)*100</f>
        <v>2.3532631438317964</v>
      </c>
      <c r="G32" s="3">
        <f t="shared" si="6"/>
        <v>2.8142494558940578</v>
      </c>
      <c r="H32" s="3">
        <f t="shared" si="7"/>
        <v>3.96</v>
      </c>
      <c r="J32" s="1">
        <f t="shared" si="1"/>
        <v>-1.1457505441059421</v>
      </c>
    </row>
    <row r="33" spans="2:10" x14ac:dyDescent="0.25">
      <c r="B33" s="1">
        <v>2022</v>
      </c>
      <c r="C33" s="3">
        <f t="shared" si="5"/>
        <v>4.7958315233127191</v>
      </c>
      <c r="D33" s="3">
        <f t="shared" si="2"/>
        <v>23</v>
      </c>
      <c r="E33" s="3">
        <f>(D33/D32-1)*100</f>
        <v>4.5454545454545414</v>
      </c>
      <c r="F33" s="3">
        <f>(C33/C32-1)*100</f>
        <v>2.2474716291090102</v>
      </c>
      <c r="G33" s="3">
        <f t="shared" si="6"/>
        <v>2.8774989139876315</v>
      </c>
      <c r="H33" s="3">
        <f t="shared" si="7"/>
        <v>4.1399999999999997</v>
      </c>
      <c r="J33" s="1">
        <f t="shared" si="1"/>
        <v>-1.2625010860123682</v>
      </c>
    </row>
    <row r="34" spans="2:10" x14ac:dyDescent="0.25">
      <c r="B34" s="1">
        <v>2023</v>
      </c>
      <c r="C34" s="3">
        <f t="shared" si="5"/>
        <v>4.8989794855663558</v>
      </c>
      <c r="D34" s="3">
        <f t="shared" si="2"/>
        <v>24</v>
      </c>
      <c r="E34" s="3">
        <f>(D34/D33-1)*100</f>
        <v>4.3478260869565188</v>
      </c>
      <c r="F34" s="3">
        <f>(C34/C33-1)*100</f>
        <v>2.1507836910498401</v>
      </c>
      <c r="G34" s="3">
        <f t="shared" si="6"/>
        <v>2.9393876913398134</v>
      </c>
      <c r="H34" s="3">
        <f t="shared" si="7"/>
        <v>4.32</v>
      </c>
      <c r="J34" s="1">
        <f t="shared" si="1"/>
        <v>-1.3806123086601869</v>
      </c>
    </row>
    <row r="35" spans="2:10" x14ac:dyDescent="0.25">
      <c r="B35" s="1">
        <v>2024</v>
      </c>
      <c r="C35" s="3">
        <f t="shared" si="5"/>
        <v>5</v>
      </c>
      <c r="D35" s="3">
        <f t="shared" si="2"/>
        <v>25</v>
      </c>
      <c r="E35" s="3">
        <f>(D35/D34-1)*100</f>
        <v>4.1666666666666741</v>
      </c>
      <c r="F35" s="3">
        <f>(C35/C34-1)*100</f>
        <v>2.0620726159657599</v>
      </c>
      <c r="G35" s="3">
        <f t="shared" si="6"/>
        <v>3</v>
      </c>
      <c r="H35" s="3">
        <f t="shared" si="7"/>
        <v>4.5</v>
      </c>
      <c r="J35" s="1">
        <f t="shared" si="1"/>
        <v>-1.5</v>
      </c>
    </row>
    <row r="36" spans="2:10" x14ac:dyDescent="0.25">
      <c r="B36" s="1">
        <v>2025</v>
      </c>
      <c r="C36" s="3">
        <f t="shared" si="5"/>
        <v>5.0990195135927845</v>
      </c>
      <c r="D36" s="3">
        <f t="shared" si="2"/>
        <v>26</v>
      </c>
      <c r="E36" s="3">
        <f>(D36/D35-1)*100</f>
        <v>4.0000000000000036</v>
      </c>
      <c r="F36" s="3">
        <f>(C36/C35-1)*100</f>
        <v>1.980390271855681</v>
      </c>
      <c r="G36" s="3">
        <f t="shared" si="6"/>
        <v>3.0594117081556704</v>
      </c>
      <c r="H36" s="3">
        <f t="shared" si="7"/>
        <v>4.68</v>
      </c>
      <c r="J36" s="1">
        <f t="shared" si="1"/>
        <v>-1.6205882918443293</v>
      </c>
    </row>
    <row r="37" spans="2:10" x14ac:dyDescent="0.25">
      <c r="B37" s="1">
        <v>2026</v>
      </c>
      <c r="C37" s="3">
        <f t="shared" si="5"/>
        <v>5.196152422706632</v>
      </c>
      <c r="D37" s="3">
        <f t="shared" si="2"/>
        <v>27</v>
      </c>
      <c r="E37" s="3">
        <f t="shared" ref="E37:E50" si="8">(D37/D36-1)*100</f>
        <v>3.8461538461538547</v>
      </c>
      <c r="F37" s="3">
        <f t="shared" ref="F37:F50" si="9">(C37/C36-1)*100</f>
        <v>1.904933073013626</v>
      </c>
      <c r="G37" s="3">
        <f t="shared" si="6"/>
        <v>3.117691453623979</v>
      </c>
      <c r="H37" s="3">
        <f t="shared" si="7"/>
        <v>4.8599999999999994</v>
      </c>
      <c r="J37" s="1">
        <f t="shared" si="1"/>
        <v>-1.7423085463760204</v>
      </c>
    </row>
    <row r="38" spans="2:10" x14ac:dyDescent="0.25">
      <c r="B38" s="1">
        <v>2027</v>
      </c>
      <c r="C38" s="3">
        <f t="shared" si="5"/>
        <v>5.2915026221291814</v>
      </c>
      <c r="D38" s="3">
        <f t="shared" si="2"/>
        <v>28</v>
      </c>
      <c r="E38" s="3">
        <f t="shared" si="8"/>
        <v>3.7037037037036979</v>
      </c>
      <c r="F38" s="3">
        <f t="shared" si="9"/>
        <v>1.8350154434631172</v>
      </c>
      <c r="G38" s="3">
        <f t="shared" si="6"/>
        <v>3.1749015732775088</v>
      </c>
      <c r="H38" s="3">
        <f t="shared" si="7"/>
        <v>5.04</v>
      </c>
      <c r="J38" s="1">
        <f t="shared" si="1"/>
        <v>-1.8650984267224913</v>
      </c>
    </row>
    <row r="39" spans="2:10" x14ac:dyDescent="0.25">
      <c r="B39" s="1">
        <v>2028</v>
      </c>
      <c r="C39" s="3">
        <f t="shared" si="5"/>
        <v>5.3851648071345037</v>
      </c>
      <c r="D39" s="3">
        <f t="shared" si="2"/>
        <v>29</v>
      </c>
      <c r="E39" s="3">
        <f t="shared" si="8"/>
        <v>3.5714285714285809</v>
      </c>
      <c r="F39" s="3">
        <f t="shared" si="9"/>
        <v>1.7700489198214653</v>
      </c>
      <c r="G39" s="3">
        <f t="shared" si="6"/>
        <v>3.2310988842807022</v>
      </c>
      <c r="H39" s="3">
        <f t="shared" si="7"/>
        <v>5.22</v>
      </c>
      <c r="J39" s="1">
        <f t="shared" si="1"/>
        <v>-1.9889011157192975</v>
      </c>
    </row>
    <row r="40" spans="2:10" x14ac:dyDescent="0.25">
      <c r="B40" s="1">
        <v>2029</v>
      </c>
      <c r="C40" s="3">
        <f t="shared" si="5"/>
        <v>5.4772255750516612</v>
      </c>
      <c r="D40" s="3">
        <f t="shared" si="2"/>
        <v>30</v>
      </c>
      <c r="E40" s="3">
        <f t="shared" si="8"/>
        <v>3.4482758620689724</v>
      </c>
      <c r="F40" s="3">
        <f t="shared" si="9"/>
        <v>1.7095255431215595</v>
      </c>
      <c r="G40" s="3">
        <f t="shared" si="6"/>
        <v>3.2863353450309964</v>
      </c>
      <c r="H40" s="3">
        <f t="shared" si="7"/>
        <v>5.3999999999999995</v>
      </c>
      <c r="J40" s="1">
        <f t="shared" si="1"/>
        <v>-2.113664654969003</v>
      </c>
    </row>
    <row r="41" spans="2:10" x14ac:dyDescent="0.25">
      <c r="B41" s="1">
        <v>2030</v>
      </c>
      <c r="C41" s="3">
        <f t="shared" si="5"/>
        <v>5.5677643628300215</v>
      </c>
      <c r="D41" s="3">
        <f t="shared" si="2"/>
        <v>31</v>
      </c>
      <c r="E41" s="3">
        <f t="shared" si="8"/>
        <v>3.3333333333333437</v>
      </c>
      <c r="F41" s="3">
        <f t="shared" si="9"/>
        <v>1.653004546512693</v>
      </c>
      <c r="G41" s="3">
        <f t="shared" si="6"/>
        <v>3.3406586176980126</v>
      </c>
      <c r="H41" s="3">
        <f t="shared" si="7"/>
        <v>5.58</v>
      </c>
      <c r="J41" s="1">
        <f t="shared" si="1"/>
        <v>-2.2393413823019874</v>
      </c>
    </row>
    <row r="42" spans="2:10" x14ac:dyDescent="0.25">
      <c r="B42" s="1">
        <v>2031</v>
      </c>
      <c r="C42" s="3">
        <f t="shared" si="5"/>
        <v>5.6568542494923806</v>
      </c>
      <c r="D42" s="3">
        <f t="shared" si="2"/>
        <v>32</v>
      </c>
      <c r="E42" s="3">
        <f t="shared" si="8"/>
        <v>3.2258064516129004</v>
      </c>
      <c r="F42" s="3">
        <f t="shared" si="9"/>
        <v>1.6001016001524038</v>
      </c>
      <c r="G42" s="3">
        <f t="shared" si="6"/>
        <v>3.3941125496954281</v>
      </c>
      <c r="H42" s="3">
        <f t="shared" si="7"/>
        <v>5.76</v>
      </c>
      <c r="J42" s="1">
        <f t="shared" si="1"/>
        <v>-2.3658874503045717</v>
      </c>
    </row>
    <row r="43" spans="2:10" x14ac:dyDescent="0.25">
      <c r="B43" s="1">
        <v>2032</v>
      </c>
      <c r="C43" s="3">
        <f t="shared" si="5"/>
        <v>5.7445626465380286</v>
      </c>
      <c r="D43" s="3">
        <f t="shared" si="2"/>
        <v>33</v>
      </c>
      <c r="E43" s="3">
        <f t="shared" si="8"/>
        <v>3.125</v>
      </c>
      <c r="F43" s="3">
        <f t="shared" si="9"/>
        <v>1.5504800579494882</v>
      </c>
      <c r="G43" s="3">
        <f t="shared" si="6"/>
        <v>3.4467375879228173</v>
      </c>
      <c r="H43" s="3">
        <f t="shared" si="7"/>
        <v>5.9399999999999995</v>
      </c>
      <c r="J43" s="1">
        <f t="shared" si="1"/>
        <v>-2.4932624120771822</v>
      </c>
    </row>
    <row r="44" spans="2:10" x14ac:dyDescent="0.25">
      <c r="B44" s="1">
        <v>2033</v>
      </c>
      <c r="C44" s="3">
        <f t="shared" si="5"/>
        <v>5.8309518948453007</v>
      </c>
      <c r="D44" s="3">
        <f t="shared" si="2"/>
        <v>34</v>
      </c>
      <c r="E44" s="3">
        <f t="shared" si="8"/>
        <v>3.0303030303030276</v>
      </c>
      <c r="F44" s="3">
        <f t="shared" si="9"/>
        <v>1.5038437845104724</v>
      </c>
      <c r="G44" s="3">
        <f t="shared" si="6"/>
        <v>3.4985711369071804</v>
      </c>
      <c r="H44" s="3">
        <f t="shared" si="7"/>
        <v>6.12</v>
      </c>
      <c r="J44" s="1">
        <f t="shared" si="1"/>
        <v>-2.6214288630928197</v>
      </c>
    </row>
    <row r="45" spans="2:10" x14ac:dyDescent="0.25">
      <c r="B45" s="1">
        <v>2034</v>
      </c>
      <c r="C45" s="3">
        <f t="shared" si="5"/>
        <v>5.9160797830996161</v>
      </c>
      <c r="D45" s="3">
        <f t="shared" si="2"/>
        <v>35</v>
      </c>
      <c r="E45" s="3">
        <f t="shared" si="8"/>
        <v>2.9411764705882248</v>
      </c>
      <c r="F45" s="3">
        <f t="shared" si="9"/>
        <v>1.4599312391784691</v>
      </c>
      <c r="G45" s="3">
        <f t="shared" si="6"/>
        <v>3.5496478698597698</v>
      </c>
      <c r="H45" s="3">
        <f t="shared" si="7"/>
        <v>6.3</v>
      </c>
      <c r="J45" s="1">
        <f t="shared" si="1"/>
        <v>-2.7503521301402301</v>
      </c>
    </row>
    <row r="46" spans="2:10" x14ac:dyDescent="0.25">
      <c r="B46" s="1">
        <v>2035</v>
      </c>
      <c r="C46" s="3">
        <f t="shared" si="5"/>
        <v>6</v>
      </c>
      <c r="D46" s="3">
        <f t="shared" si="2"/>
        <v>36</v>
      </c>
      <c r="E46" s="3">
        <f t="shared" si="8"/>
        <v>2.857142857142847</v>
      </c>
      <c r="F46" s="3">
        <f t="shared" si="9"/>
        <v>1.4185105674219933</v>
      </c>
      <c r="G46" s="3">
        <f t="shared" si="6"/>
        <v>3.5999999999999996</v>
      </c>
      <c r="H46" s="3">
        <f t="shared" si="7"/>
        <v>6.4799999999999995</v>
      </c>
      <c r="J46" s="1">
        <f t="shared" si="1"/>
        <v>-2.88</v>
      </c>
    </row>
    <row r="47" spans="2:10" x14ac:dyDescent="0.25">
      <c r="B47" s="1">
        <v>2036</v>
      </c>
      <c r="C47" s="3">
        <f t="shared" si="5"/>
        <v>6.0827625302982193</v>
      </c>
      <c r="D47" s="3">
        <f t="shared" si="2"/>
        <v>37</v>
      </c>
      <c r="E47" s="3">
        <f t="shared" si="8"/>
        <v>2.7777777777777679</v>
      </c>
      <c r="F47" s="3">
        <f t="shared" si="9"/>
        <v>1.3793755049703149</v>
      </c>
      <c r="G47" s="3">
        <f t="shared" si="6"/>
        <v>3.6496575181789312</v>
      </c>
      <c r="H47" s="3">
        <f t="shared" si="7"/>
        <v>6.66</v>
      </c>
      <c r="J47" s="1">
        <f t="shared" si="1"/>
        <v>-3.0103424818210689</v>
      </c>
    </row>
    <row r="48" spans="2:10" x14ac:dyDescent="0.25">
      <c r="B48" s="1">
        <v>2037</v>
      </c>
      <c r="C48" s="3">
        <f t="shared" si="5"/>
        <v>6.164414002968976</v>
      </c>
      <c r="D48" s="3">
        <f t="shared" si="2"/>
        <v>38</v>
      </c>
      <c r="E48" s="3">
        <f t="shared" si="8"/>
        <v>2.7027027027026973</v>
      </c>
      <c r="F48" s="3">
        <f t="shared" si="9"/>
        <v>1.3423419419063443</v>
      </c>
      <c r="G48" s="3">
        <f t="shared" si="6"/>
        <v>3.6986484017813854</v>
      </c>
      <c r="H48" s="3">
        <f t="shared" si="7"/>
        <v>6.84</v>
      </c>
      <c r="J48" s="1">
        <f t="shared" si="1"/>
        <v>-3.1413515982186144</v>
      </c>
    </row>
    <row r="49" spans="2:10" x14ac:dyDescent="0.25">
      <c r="B49" s="1">
        <v>2038</v>
      </c>
      <c r="C49" s="3">
        <f t="shared" si="5"/>
        <v>6.2449979983983983</v>
      </c>
      <c r="D49" s="3">
        <f t="shared" si="2"/>
        <v>39</v>
      </c>
      <c r="E49" s="3">
        <f t="shared" si="8"/>
        <v>2.6315789473684292</v>
      </c>
      <c r="F49" s="3">
        <f t="shared" si="9"/>
        <v>1.3072450258955648</v>
      </c>
      <c r="G49" s="3">
        <f t="shared" si="6"/>
        <v>3.746998799039039</v>
      </c>
      <c r="H49" s="3">
        <f t="shared" si="7"/>
        <v>7.02</v>
      </c>
      <c r="J49" s="1">
        <f t="shared" si="1"/>
        <v>-3.2730012009609606</v>
      </c>
    </row>
    <row r="50" spans="2:10" x14ac:dyDescent="0.25">
      <c r="B50" s="1">
        <v>2039</v>
      </c>
      <c r="C50" s="3">
        <f t="shared" si="5"/>
        <v>6.324555320336759</v>
      </c>
      <c r="D50" s="3">
        <f t="shared" si="2"/>
        <v>40</v>
      </c>
      <c r="E50" s="3">
        <f t="shared" si="8"/>
        <v>2.564102564102555</v>
      </c>
      <c r="F50" s="3">
        <f t="shared" si="9"/>
        <v>1.2739367083666631</v>
      </c>
      <c r="G50" s="3">
        <f t="shared" si="6"/>
        <v>3.7947331922020551</v>
      </c>
      <c r="H50" s="3">
        <f t="shared" si="7"/>
        <v>7.1999999999999993</v>
      </c>
      <c r="J50" s="1">
        <f t="shared" si="1"/>
        <v>-3.4052668077979442</v>
      </c>
    </row>
    <row r="57" spans="2:10" x14ac:dyDescent="0.25">
      <c r="B57" s="12"/>
    </row>
  </sheetData>
  <mergeCells count="4">
    <mergeCell ref="B1:H1"/>
    <mergeCell ref="B4:C4"/>
    <mergeCell ref="D4:E4"/>
    <mergeCell ref="F4:G4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enfoque1</vt:lpstr>
      <vt:lpstr>enfoque2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2025-08-22T04:28:46Z</cp:lastPrinted>
  <dcterms:created xsi:type="dcterms:W3CDTF">2025-08-21T21:25:39Z</dcterms:created>
  <dcterms:modified xsi:type="dcterms:W3CDTF">2025-08-22T06:47:27Z</dcterms:modified>
</cp:coreProperties>
</file>